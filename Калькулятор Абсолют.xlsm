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M:\УАиП\Отдел андеррайтинга\Имущество физических лиц\"/>
    </mc:Choice>
  </mc:AlternateContent>
  <xr:revisionPtr revIDLastSave="0" documentId="13_ncr:1_{DE0895AE-DAA4-4325-8BC5-434A598B277F}" xr6:coauthVersionLast="45" xr6:coauthVersionMax="45" xr10:uidLastSave="{00000000-0000-0000-0000-000000000000}"/>
  <bookViews>
    <workbookView xWindow="-120" yWindow="-120" windowWidth="29040" windowHeight="15840" activeTab="4" xr2:uid="{0D38B19E-0BBE-47FC-A830-150E7F137D1B}"/>
  </bookViews>
  <sheets>
    <sheet name="Расчёт СС" sheetId="2" r:id="rId1"/>
    <sheet name="Расчёт премии" sheetId="1" r:id="rId2"/>
    <sheet name="Данные" sheetId="5" r:id="rId3"/>
    <sheet name="Предложение" sheetId="3" r:id="rId4"/>
    <sheet name="Полис" sheetId="4" r:id="rId5"/>
  </sheets>
  <externalReferences>
    <externalReference r:id="rId6"/>
  </externalReferences>
  <definedNames>
    <definedName name="бизнес">'Расчёт СС'!$M$11:$M$24</definedName>
    <definedName name="Взносов">[1]интерфейс!$F$90</definedName>
    <definedName name="Единовременно">Данные!$H$2</definedName>
    <definedName name="конструктив">'Расчёт СС'!$K$36</definedName>
    <definedName name="обычная">'Расчёт СС'!$L$11:$L$17</definedName>
    <definedName name="отделка">'Расчёт СС'!$K$37</definedName>
    <definedName name="Премияитог">Полис!$H$39</definedName>
    <definedName name="Рассрочка">Данные!$I$2:$I$4</definedName>
    <definedName name="тип">'Расчёт СС'!$H$16</definedName>
    <definedName name="элитная">'Расчёт СС'!$N$11:$N$30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00" i="4" l="1"/>
  <c r="O99" i="4"/>
  <c r="E100" i="4"/>
  <c r="H99" i="4"/>
  <c r="C99" i="4"/>
  <c r="A67" i="4"/>
  <c r="G2" i="5" l="1"/>
  <c r="E5" i="3" s="1"/>
  <c r="D10" i="3"/>
  <c r="F13" i="5" l="1"/>
  <c r="A42" i="4"/>
  <c r="F45" i="4" l="1"/>
  <c r="F44" i="4"/>
  <c r="F43" i="4"/>
  <c r="J40" i="4"/>
  <c r="S42" i="4" s="1"/>
  <c r="S43" i="4" s="1"/>
  <c r="G4" i="4"/>
  <c r="S45" i="4" l="1"/>
  <c r="S44" i="4"/>
  <c r="P4" i="4"/>
  <c r="R54" i="4" s="1"/>
  <c r="I54" i="4"/>
  <c r="H13" i="5"/>
  <c r="E18" i="4" l="1"/>
  <c r="G14" i="4"/>
  <c r="D13" i="4"/>
  <c r="C12" i="4"/>
  <c r="S12" i="4"/>
  <c r="M13" i="4"/>
  <c r="C65" i="3" l="1"/>
  <c r="B46" i="3" s="1"/>
  <c r="B44" i="3"/>
  <c r="B43" i="3"/>
  <c r="B39" i="3"/>
  <c r="B40" i="3"/>
  <c r="K36" i="3"/>
  <c r="G36" i="3"/>
  <c r="R17" i="4" s="1"/>
  <c r="B64" i="3"/>
  <c r="B62" i="3"/>
  <c r="B42" i="3" s="1"/>
  <c r="B63" i="3"/>
  <c r="B61" i="3"/>
  <c r="B41" i="3" s="1"/>
  <c r="B60" i="3"/>
  <c r="B59" i="3"/>
  <c r="B58" i="3"/>
  <c r="B38" i="3" s="1"/>
  <c r="B57" i="3"/>
  <c r="B37" i="3" s="1"/>
  <c r="B38" i="1" l="1"/>
  <c r="C52" i="3"/>
  <c r="A55" i="3"/>
  <c r="D11" i="3" s="1"/>
  <c r="S40" i="4" s="1"/>
  <c r="A53" i="3"/>
  <c r="A51" i="3"/>
  <c r="A47" i="3"/>
  <c r="A48" i="3"/>
  <c r="A49" i="3"/>
  <c r="A50" i="3"/>
  <c r="I31" i="1"/>
  <c r="E9" i="3" l="1"/>
  <c r="E17" i="4" s="1"/>
  <c r="B7" i="3" l="1"/>
  <c r="G57" i="1"/>
  <c r="G58" i="1"/>
  <c r="G56" i="1"/>
  <c r="C57" i="1"/>
  <c r="C58" i="1"/>
  <c r="C56" i="1"/>
  <c r="U53" i="1"/>
  <c r="U52" i="1"/>
  <c r="U50" i="1"/>
  <c r="U51" i="1"/>
  <c r="U49" i="1"/>
  <c r="O53" i="1"/>
  <c r="O52" i="1"/>
  <c r="O50" i="1"/>
  <c r="O51" i="1"/>
  <c r="O49" i="1"/>
  <c r="R50" i="1"/>
  <c r="R51" i="1"/>
  <c r="R52" i="1"/>
  <c r="R53" i="1"/>
  <c r="R49" i="1"/>
  <c r="N53" i="1"/>
  <c r="N52" i="1"/>
  <c r="N50" i="1"/>
  <c r="N51" i="1"/>
  <c r="N49" i="1"/>
  <c r="M53" i="1"/>
  <c r="M52" i="1"/>
  <c r="M50" i="1"/>
  <c r="M51" i="1"/>
  <c r="M49" i="1"/>
  <c r="L53" i="1"/>
  <c r="L52" i="1"/>
  <c r="L50" i="1"/>
  <c r="L51" i="1"/>
  <c r="L49" i="1"/>
  <c r="K53" i="1"/>
  <c r="K52" i="1"/>
  <c r="K50" i="1"/>
  <c r="K51" i="1"/>
  <c r="K49" i="1"/>
  <c r="J53" i="1"/>
  <c r="J52" i="1"/>
  <c r="J50" i="1"/>
  <c r="J51" i="1"/>
  <c r="J49" i="1"/>
  <c r="I53" i="1"/>
  <c r="I52" i="1"/>
  <c r="I50" i="1"/>
  <c r="I51" i="1"/>
  <c r="I49" i="1"/>
  <c r="H53" i="1"/>
  <c r="H52" i="1"/>
  <c r="H50" i="1"/>
  <c r="H51" i="1"/>
  <c r="H49" i="1"/>
  <c r="G36" i="2"/>
  <c r="H37" i="2"/>
  <c r="G37" i="2"/>
  <c r="D37" i="2"/>
  <c r="F37" i="2"/>
  <c r="I37" i="2"/>
  <c r="D16" i="3" l="1"/>
  <c r="A33" i="4" s="1"/>
  <c r="A54" i="3"/>
  <c r="F37" i="4" s="1"/>
  <c r="S66" i="4" s="1"/>
  <c r="G37" i="1"/>
  <c r="D19" i="3" s="1"/>
  <c r="A36" i="4" s="1"/>
  <c r="D47" i="1"/>
  <c r="F47" i="1" s="1"/>
  <c r="D46" i="1"/>
  <c r="F46" i="1" s="1"/>
  <c r="Q20" i="1"/>
  <c r="G24" i="3" s="1"/>
  <c r="A51" i="4" s="1"/>
  <c r="Q19" i="1"/>
  <c r="G23" i="3" s="1"/>
  <c r="J50" i="4" s="1"/>
  <c r="Q18" i="1"/>
  <c r="G22" i="3" s="1"/>
  <c r="J49" i="4" s="1"/>
  <c r="F19" i="1"/>
  <c r="A22" i="4" s="1"/>
  <c r="D57" i="1"/>
  <c r="E57" i="1"/>
  <c r="D58" i="1"/>
  <c r="E58" i="1"/>
  <c r="E56" i="1"/>
  <c r="D56" i="1"/>
  <c r="P50" i="1"/>
  <c r="P51" i="1"/>
  <c r="P52" i="1"/>
  <c r="P53" i="1"/>
  <c r="P49" i="1"/>
  <c r="W50" i="1"/>
  <c r="W51" i="1"/>
  <c r="W52" i="1"/>
  <c r="W53" i="1"/>
  <c r="W49" i="1"/>
  <c r="G49" i="1"/>
  <c r="S50" i="1"/>
  <c r="S51" i="1"/>
  <c r="S52" i="1"/>
  <c r="S53" i="1"/>
  <c r="S49" i="1"/>
  <c r="K30" i="1"/>
  <c r="V50" i="1" s="1"/>
  <c r="T52" i="1"/>
  <c r="Q53" i="1"/>
  <c r="Q52" i="1"/>
  <c r="Q50" i="1"/>
  <c r="Q51" i="1"/>
  <c r="Q49" i="1"/>
  <c r="G50" i="1"/>
  <c r="G51" i="1"/>
  <c r="F50" i="1"/>
  <c r="F51" i="1"/>
  <c r="F49" i="1"/>
  <c r="E50" i="1"/>
  <c r="E51" i="1"/>
  <c r="E52" i="1"/>
  <c r="E53" i="1"/>
  <c r="E49" i="1"/>
  <c r="A66" i="4" l="1"/>
  <c r="A63" i="4"/>
  <c r="F57" i="1"/>
  <c r="H57" i="1" s="1"/>
  <c r="O34" i="1" s="1"/>
  <c r="C53" i="3" s="1"/>
  <c r="R35" i="4" s="1"/>
  <c r="F56" i="1"/>
  <c r="H56" i="1" s="1"/>
  <c r="F58" i="1"/>
  <c r="H58" i="1" s="1"/>
  <c r="D13" i="3"/>
  <c r="X52" i="1"/>
  <c r="X53" i="1"/>
  <c r="X50" i="1"/>
  <c r="Y50" i="1" s="1"/>
  <c r="Z50" i="1" s="1"/>
  <c r="O25" i="1" s="1"/>
  <c r="C48" i="3" s="1"/>
  <c r="B29" i="3" s="1"/>
  <c r="A28" i="4" s="1"/>
  <c r="X49" i="1"/>
  <c r="X51" i="1"/>
  <c r="E46" i="1"/>
  <c r="E47" i="1"/>
  <c r="V53" i="1"/>
  <c r="V52" i="1"/>
  <c r="V51" i="1"/>
  <c r="V49" i="1"/>
  <c r="I33" i="1"/>
  <c r="D18" i="3" s="1"/>
  <c r="A59" i="4" l="1"/>
  <c r="F35" i="4"/>
  <c r="B33" i="3"/>
  <c r="K33" i="3" s="1"/>
  <c r="B39" i="1"/>
  <c r="K29" i="3"/>
  <c r="Q28" i="4" s="1"/>
  <c r="I29" i="3"/>
  <c r="J28" i="4" s="1"/>
  <c r="Y49" i="1"/>
  <c r="Z49" i="1" s="1"/>
  <c r="O23" i="1" s="1"/>
  <c r="C47" i="3" s="1"/>
  <c r="B27" i="3" s="1"/>
  <c r="Y51" i="1"/>
  <c r="Z51" i="1" s="1"/>
  <c r="O26" i="1" s="1"/>
  <c r="C49" i="3" s="1"/>
  <c r="B30" i="3" s="1"/>
  <c r="A29" i="4" s="1"/>
  <c r="Y53" i="1"/>
  <c r="Z53" i="1" s="1"/>
  <c r="O29" i="1" s="1"/>
  <c r="C51" i="3" s="1"/>
  <c r="B32" i="3" s="1"/>
  <c r="A31" i="4" s="1"/>
  <c r="Y52" i="1"/>
  <c r="Z52" i="1" s="1"/>
  <c r="O28" i="1" s="1"/>
  <c r="C50" i="3" s="1"/>
  <c r="B31" i="3" s="1"/>
  <c r="A30" i="4" s="1"/>
  <c r="B32" i="2"/>
  <c r="B31" i="2"/>
  <c r="B30" i="2"/>
  <c r="B28" i="2"/>
  <c r="B29" i="2"/>
  <c r="F36" i="2"/>
  <c r="E36" i="2"/>
  <c r="D36" i="2"/>
  <c r="C37" i="2"/>
  <c r="C36" i="2"/>
  <c r="B36" i="2"/>
  <c r="B37" i="2"/>
  <c r="A37" i="2"/>
  <c r="A36" i="2"/>
  <c r="C54" i="3" l="1"/>
  <c r="K27" i="3"/>
  <c r="A26" i="4"/>
  <c r="T41" i="1"/>
  <c r="K31" i="3"/>
  <c r="Q30" i="4" s="1"/>
  <c r="I31" i="3"/>
  <c r="J30" i="4" s="1"/>
  <c r="K32" i="3"/>
  <c r="Q31" i="4" s="1"/>
  <c r="I32" i="3"/>
  <c r="J31" i="4" s="1"/>
  <c r="I27" i="3"/>
  <c r="K30" i="3"/>
  <c r="Q29" i="4" s="1"/>
  <c r="I30" i="3"/>
  <c r="J29" i="4" s="1"/>
  <c r="O30" i="1"/>
  <c r="K37" i="2"/>
  <c r="K36" i="2"/>
  <c r="B34" i="3" l="1"/>
  <c r="I34" i="3" s="1"/>
  <c r="R37" i="4"/>
  <c r="A61" i="4" s="1"/>
  <c r="Q26" i="4"/>
  <c r="J26" i="4"/>
  <c r="K21" i="2"/>
  <c r="H24" i="2"/>
  <c r="H21" i="2"/>
  <c r="S41" i="1"/>
  <c r="U41" i="1"/>
  <c r="H25" i="2"/>
  <c r="K25" i="2"/>
  <c r="K24" i="2"/>
  <c r="K34" i="3" l="1"/>
  <c r="K35" i="3" s="1"/>
  <c r="Q32" i="4"/>
  <c r="J32" i="4" s="1"/>
  <c r="I33" i="3"/>
  <c r="V41" i="1"/>
  <c r="O41" i="1" s="1"/>
  <c r="H39" i="4" l="1"/>
  <c r="J43" i="4" s="1"/>
  <c r="J45" i="4"/>
  <c r="I35" i="3"/>
  <c r="J44" i="4" l="1"/>
  <c r="J42" i="4"/>
</calcChain>
</file>

<file path=xl/sharedStrings.xml><?xml version="1.0" encoding="utf-8"?>
<sst xmlns="http://schemas.openxmlformats.org/spreadsheetml/2006/main" count="318" uniqueCount="255">
  <si>
    <t>Абсолютное преимущество. Квартира</t>
  </si>
  <si>
    <t>Общая площадь квартиры</t>
  </si>
  <si>
    <t>Тип дома</t>
  </si>
  <si>
    <t>Год постройки дома</t>
  </si>
  <si>
    <t>Этажность дома</t>
  </si>
  <si>
    <t xml:space="preserve">Этаж </t>
  </si>
  <si>
    <t>Подогорев полов</t>
  </si>
  <si>
    <t>Тип отделки</t>
  </si>
  <si>
    <t>Стоимость 1 кв.м. отделки</t>
  </si>
  <si>
    <t>да</t>
  </si>
  <si>
    <t>нет</t>
  </si>
  <si>
    <t>панельный</t>
  </si>
  <si>
    <t>блочный</t>
  </si>
  <si>
    <t>кирпичный</t>
  </si>
  <si>
    <t>монолит</t>
  </si>
  <si>
    <t>деревянный</t>
  </si>
  <si>
    <t>обычная</t>
  </si>
  <si>
    <t>элитная</t>
  </si>
  <si>
    <t xml:space="preserve">бизнес </t>
  </si>
  <si>
    <t>руб.</t>
  </si>
  <si>
    <t>до 1970</t>
  </si>
  <si>
    <t>до 1990</t>
  </si>
  <si>
    <t>до 2010</t>
  </si>
  <si>
    <t>после 2010</t>
  </si>
  <si>
    <t>&gt;10</t>
  </si>
  <si>
    <t>&gt;20</t>
  </si>
  <si>
    <t>&lt;3</t>
  </si>
  <si>
    <t>водяной</t>
  </si>
  <si>
    <t>электрический</t>
  </si>
  <si>
    <t>&lt;35</t>
  </si>
  <si>
    <t>&gt;65</t>
  </si>
  <si>
    <t>&gt;100</t>
  </si>
  <si>
    <t>БТ</t>
  </si>
  <si>
    <t>Ктип</t>
  </si>
  <si>
    <t>Кгод</t>
  </si>
  <si>
    <t>Кэ</t>
  </si>
  <si>
    <t>Кэт</t>
  </si>
  <si>
    <t>Кпл</t>
  </si>
  <si>
    <t>Кохр</t>
  </si>
  <si>
    <t>Кконд</t>
  </si>
  <si>
    <t>Кпод</t>
  </si>
  <si>
    <t>Средняя стоимость 1 кв.м. в регионе</t>
  </si>
  <si>
    <t>Конструктивные элементы</t>
  </si>
  <si>
    <t>Внутренняя отделка, инженерные сети и оборудование</t>
  </si>
  <si>
    <t>до</t>
  </si>
  <si>
    <t>Страховая сумма</t>
  </si>
  <si>
    <t>от</t>
  </si>
  <si>
    <t>min</t>
  </si>
  <si>
    <t>max</t>
  </si>
  <si>
    <t>версия 1 от 01.03.2020</t>
  </si>
  <si>
    <t>Тип помещения</t>
  </si>
  <si>
    <t>Площадь помещения</t>
  </si>
  <si>
    <t>Год строительства строения, в котором находится помещение</t>
  </si>
  <si>
    <t>квартира</t>
  </si>
  <si>
    <t>таунхаус</t>
  </si>
  <si>
    <t>дуплекс</t>
  </si>
  <si>
    <t>Пакет имущественных рисков</t>
  </si>
  <si>
    <t>Пакет 1</t>
  </si>
  <si>
    <t>Пакет 2</t>
  </si>
  <si>
    <t>Пакет 3</t>
  </si>
  <si>
    <t>Конструктивные элементы, внутренняя отделка, инженерные сети и оборудование</t>
  </si>
  <si>
    <t>Конструктивные элементы, инженерные сети</t>
  </si>
  <si>
    <t>Движимое имущество</t>
  </si>
  <si>
    <t>Ценное имущество по перечню</t>
  </si>
  <si>
    <t>Франшиза</t>
  </si>
  <si>
    <t>Страховая премия</t>
  </si>
  <si>
    <t>Канд</t>
  </si>
  <si>
    <t>без перечня</t>
  </si>
  <si>
    <t>групповой</t>
  </si>
  <si>
    <t>тип перечня</t>
  </si>
  <si>
    <t>Пакет рисков по гражданской ответственности</t>
  </si>
  <si>
    <t>Перечень лиц, чья ответственность застрахована</t>
  </si>
  <si>
    <t>Вариант 1</t>
  </si>
  <si>
    <t>Вариант 2</t>
  </si>
  <si>
    <t>Вариант 3</t>
  </si>
  <si>
    <t>Тбаз</t>
  </si>
  <si>
    <t>КВИ</t>
  </si>
  <si>
    <t>К</t>
  </si>
  <si>
    <t>ВИ</t>
  </si>
  <si>
    <t>ДИ</t>
  </si>
  <si>
    <t>Ц</t>
  </si>
  <si>
    <t>Тгод</t>
  </si>
  <si>
    <t>Тип</t>
  </si>
  <si>
    <t>Тар</t>
  </si>
  <si>
    <t>Тохр</t>
  </si>
  <si>
    <t>Тпож</t>
  </si>
  <si>
    <t>Тогн</t>
  </si>
  <si>
    <t>Тпосл</t>
  </si>
  <si>
    <t>Тперек</t>
  </si>
  <si>
    <t>Тпропус</t>
  </si>
  <si>
    <t>ТперЭт</t>
  </si>
  <si>
    <t>Тфран</t>
  </si>
  <si>
    <t>Ксрок</t>
  </si>
  <si>
    <t>Трем</t>
  </si>
  <si>
    <t>до 1950</t>
  </si>
  <si>
    <t>до 1980</t>
  </si>
  <si>
    <t>до 2000</t>
  </si>
  <si>
    <t>до 2015</t>
  </si>
  <si>
    <t>после 2015</t>
  </si>
  <si>
    <t>Кдер</t>
  </si>
  <si>
    <t>Срок страхования</t>
  </si>
  <si>
    <t>Тпереч</t>
  </si>
  <si>
    <t>Тсумм</t>
  </si>
  <si>
    <t>до 1 млн</t>
  </si>
  <si>
    <t>до 10 млн</t>
  </si>
  <si>
    <t>до 3 млн</t>
  </si>
  <si>
    <t>больше 10 млн</t>
  </si>
  <si>
    <t>Тпл</t>
  </si>
  <si>
    <t>до 30</t>
  </si>
  <si>
    <t>до 50</t>
  </si>
  <si>
    <t>до 100</t>
  </si>
  <si>
    <t>до 150</t>
  </si>
  <si>
    <t>более 150</t>
  </si>
  <si>
    <t>Тсотр</t>
  </si>
  <si>
    <t>Титог</t>
  </si>
  <si>
    <t>Титогпроц</t>
  </si>
  <si>
    <t>ГО</t>
  </si>
  <si>
    <t>0-500</t>
  </si>
  <si>
    <t>500-1млн</t>
  </si>
  <si>
    <t>1-1,5млн</t>
  </si>
  <si>
    <t>Тсрок</t>
  </si>
  <si>
    <t>Твар</t>
  </si>
  <si>
    <t>Тпроц</t>
  </si>
  <si>
    <t>Пожар, взрыв, удар молнии, воздействие жидкости, стихийные бедствия, противоправные действия третьих лиц, внешнее воздействие</t>
  </si>
  <si>
    <t>Пожар, взрыв, удар молнии, воздействие жидкости, стихийные бедствия, противоправные действия третьих лиц, внешнее воздействие, разлив жидкости из бытовой техники, поломка электрооборудования</t>
  </si>
  <si>
    <t>Пожар, взрыв, удар молнии, воздействие жидкости, стихийные бедствия, противоправные действия третьих лиц, внешнее воздействие, разлив жидкости из бытовой техники, поломка электрооборудования, конструктивные дефекты, повреждения вызванные салютом, бой стёкол</t>
  </si>
  <si>
    <t>Пакет рисков по непредвиденным расходам</t>
  </si>
  <si>
    <t>Тип страхового возмещения</t>
  </si>
  <si>
    <t>тсрок</t>
  </si>
  <si>
    <t>ТитогП2</t>
  </si>
  <si>
    <t>ТитогП3</t>
  </si>
  <si>
    <t>Непредвиденные расходы не застрахованы</t>
  </si>
  <si>
    <t>Непредвиденные расходы при страховом случае и эксплуатации квартиры</t>
  </si>
  <si>
    <t>Непредвиденные расходы при страховом случае</t>
  </si>
  <si>
    <t>Гражданская ответственность перед третьим лицами при эксплуатации застрахованного помещения</t>
  </si>
  <si>
    <t>Без страхования гражданской ответственности</t>
  </si>
  <si>
    <t>Страховая премия по полису</t>
  </si>
  <si>
    <t>Гражданская ответственность перед третьим лицами при эксплуатации застрахованного помещения (с покрытием при проведении ремонтно-отделочных работ)</t>
  </si>
  <si>
    <t>Конструктивные элементы, 
внутренняя отделка, инженерные сети и оборудование</t>
  </si>
  <si>
    <t xml:space="preserve">Уважаемый </t>
  </si>
  <si>
    <t>Страховое покрытие</t>
  </si>
  <si>
    <t>Страховое возмещение</t>
  </si>
  <si>
    <t>Объекты страхования</t>
  </si>
  <si>
    <t>Имущество</t>
  </si>
  <si>
    <t>Гражданская ответственность</t>
  </si>
  <si>
    <t>Непредвиденные
расходы</t>
  </si>
  <si>
    <t>Застрахованное лицо</t>
  </si>
  <si>
    <t>Непредвиденные расходы</t>
  </si>
  <si>
    <t>Итого:</t>
  </si>
  <si>
    <t>6 месяцев</t>
  </si>
  <si>
    <t>12 месяцев</t>
  </si>
  <si>
    <t>18 месяцев</t>
  </si>
  <si>
    <t>30 месяцев</t>
  </si>
  <si>
    <t>36 месяцев</t>
  </si>
  <si>
    <t>24 месяца</t>
  </si>
  <si>
    <t>Тип страховой суммы</t>
  </si>
  <si>
    <t>Особые условия</t>
  </si>
  <si>
    <t>№</t>
  </si>
  <si>
    <t>Настоящим Полисом подтверждается факт заключения договора страхования между</t>
  </si>
  <si>
    <t>Правилами страхования имущества физических лиц (далее – Правила).</t>
  </si>
  <si>
    <t xml:space="preserve"> ООО «Абсолют Страхование» (далее — Страховщик) и Страхователем в соответствии с  </t>
  </si>
  <si>
    <t>Правила страхования также размещены на  сайте Страховщика в информационно-</t>
  </si>
  <si>
    <t xml:space="preserve">телекоммуникационной сети Интернет  по адресу: </t>
  </si>
  <si>
    <t>https://www.absolutins.ru/klientam/strahovye-pravila-i-tarify/</t>
  </si>
  <si>
    <t>Страхователь</t>
  </si>
  <si>
    <t>ФИО</t>
  </si>
  <si>
    <t>Дата рождения</t>
  </si>
  <si>
    <t>Телефон</t>
  </si>
  <si>
    <t>Электронная почта</t>
  </si>
  <si>
    <t>Документ удостоверяющий личность</t>
  </si>
  <si>
    <t>Территория страхования</t>
  </si>
  <si>
    <t>Адес объекта</t>
  </si>
  <si>
    <t>Характеристики объекта</t>
  </si>
  <si>
    <t>м²</t>
  </si>
  <si>
    <t>Площадь объекта</t>
  </si>
  <si>
    <t>Страховые риски, Объекты страхования, Страховые суммы</t>
  </si>
  <si>
    <t>Расчёт восстановительных расходов</t>
  </si>
  <si>
    <t>Арен</t>
  </si>
  <si>
    <t>Охр</t>
  </si>
  <si>
    <t>Пож</t>
  </si>
  <si>
    <t>Огн</t>
  </si>
  <si>
    <t>Перекр</t>
  </si>
  <si>
    <t>Пропус</t>
  </si>
  <si>
    <t>РемОтд</t>
  </si>
  <si>
    <t>Перв</t>
  </si>
  <si>
    <t>Помещение сдаётся в аренду</t>
  </si>
  <si>
    <t>Помещение не сдаётся в аренду</t>
  </si>
  <si>
    <t>Помещение оборудовано охранной сигнализацией с выводом сигнала на пульт круглосуточного дежурного</t>
  </si>
  <si>
    <t>Помещение не оборудовано охранной сигнализацией с выводом сигнала на пульт круглосуточного дежурного</t>
  </si>
  <si>
    <t>Помещение оборудовано пожарной сигнализацией с выводом сигнала на пульт МЧС</t>
  </si>
  <si>
    <t>Помещение не оборудовано пожарной сигнализацией с выводом сигнала на пульт МЧС</t>
  </si>
  <si>
    <t>Наличие в помещении газовой плиты/колонки, камина, оборудования бани/сауны</t>
  </si>
  <si>
    <t>Отсутствие в помещении газовой плиты/колонки, камина, оборудования бани/сауны</t>
  </si>
  <si>
    <t>Помещение находится в здании с деревянными перекрытиями</t>
  </si>
  <si>
    <t>Помещение находится в здании без деревянных перекрытий</t>
  </si>
  <si>
    <t>Помещение находится в охраняемом жилом комплексе с пропускной системой</t>
  </si>
  <si>
    <t>Отсутствие защитных приспособлений на окнах</t>
  </si>
  <si>
    <t>Домашнее имущество страхуется по групповому перечню</t>
  </si>
  <si>
    <t>Домашнее имущество страхуется по предметному перечню</t>
  </si>
  <si>
    <t>предметный</t>
  </si>
  <si>
    <t>Домашнее имущество страхуется на общую сумму без перечня</t>
  </si>
  <si>
    <t>Площадь</t>
  </si>
  <si>
    <t>Год постройки</t>
  </si>
  <si>
    <t>ООО "Абсолют Страхование" благодарит Вас за сотрудничество и предлагает Вам рассмотреть коммерческое предложение по страхованию жилого помещения:</t>
  </si>
  <si>
    <t>В помещении не планируется проведение ремонтно-отделочных работ в период действия полиса</t>
  </si>
  <si>
    <t>В помещении планируется проведение ремонтно-отделочных работ в период действия полиса</t>
  </si>
  <si>
    <t>Итого по имуществу</t>
  </si>
  <si>
    <t xml:space="preserve">Все суммы в настоящем Полисе указаны в рублях. </t>
  </si>
  <si>
    <t>Адрес помещения</t>
  </si>
  <si>
    <t>ООО "Абсолют Страхование" благодарит Вас за сотрудничество и предлагает Вам рассмотреть коммерческое предложение по страхованию помещения:</t>
  </si>
  <si>
    <t>апартаменты</t>
  </si>
  <si>
    <t>Срок действия полиса</t>
  </si>
  <si>
    <t>с 00 час. 00 мин.</t>
  </si>
  <si>
    <t>до 23 час. 59 мин.</t>
  </si>
  <si>
    <t>Единовременно</t>
  </si>
  <si>
    <t>Порядок оплаты страховой премии</t>
  </si>
  <si>
    <t>Взнос 1</t>
  </si>
  <si>
    <t>не позднее</t>
  </si>
  <si>
    <t>В случае неуплаты Страхователем страховой премии (первого взноса страховой премии) в сроки, предусмотренные договором страхования, или уплаты страховой премии (первого взноса страховой премии) не в полном объеме, договор страхования считается не вступившим в силу, обязательств по такому Договору у сторон не возникает.</t>
  </si>
  <si>
    <t>Страховой полис</t>
  </si>
  <si>
    <t>Специальные условия</t>
  </si>
  <si>
    <t>Тип расчёта восстановительных расходов</t>
  </si>
  <si>
    <t>Внутренняя отделка, инженерное оборудование</t>
  </si>
  <si>
    <t>Документ, удостоверяющий личность</t>
  </si>
  <si>
    <t>Тип оплаты</t>
  </si>
  <si>
    <t>Количество взносов</t>
  </si>
  <si>
    <t>Дата начала страхования</t>
  </si>
  <si>
    <t>Номер полиса</t>
  </si>
  <si>
    <t>Дата подписания</t>
  </si>
  <si>
    <t xml:space="preserve">Условия оплаты, дата начала </t>
  </si>
  <si>
    <t>Рассрочка</t>
  </si>
  <si>
    <t>Разрешенные значения с</t>
  </si>
  <si>
    <t>по</t>
  </si>
  <si>
    <t>Настоящий полис заключен "за счёт кого следует"</t>
  </si>
  <si>
    <t>Страхового полиса</t>
  </si>
  <si>
    <t>страница №2</t>
  </si>
  <si>
    <t>Выгодоприобретателями, имеющими право на получение страховой выплаты при наступлении страхового случая, являются:</t>
  </si>
  <si>
    <t>- при страховании имущества - лицо, имеющее основанный на законе или ином правовом акте  или договоре интерес в сохранении застрахованного имущества</t>
  </si>
  <si>
    <t>D</t>
  </si>
  <si>
    <t>По настоящему полису застрахованы следующие непредвиденные расходы в результате страхового случая: "расходы на проживание в гостинице", "уборка помещения", "досрочное возвращение", "замена замков"</t>
  </si>
  <si>
    <t xml:space="preserve">По настоящему полису застрахованы следующие непредвиденные расходы в результате страхового случая и экплуатации квартиры: "расходы на проживание в гостинице", "уборка помещения", "досрочное возвращение", "замена замков", "диагностика неисправностей", "устранение неисправностей", "вскрытие дверей", "вынос мебели", "потеря документов". Лимит выплат по риску непредвиденных расходов составляет 2 000 руб. на один страховой случай.  </t>
  </si>
  <si>
    <t>Лимит обращений по риску непредвиденных расходов в течение срока действия полиса</t>
  </si>
  <si>
    <t>Иные условия страхования, выплаты страхового возмещения, порядок действий Страхователя при наступлении страхового случая — в соответствии с Правилами, которые являются неотъемлемой частью настоящего Полиса. В случае если настоящий Полис отличается от Правил, применяются положения, изложенные в Полисе.</t>
  </si>
  <si>
    <t xml:space="preserve">Подписывая настоящий Полиси оплачивая страховую премию Страхователь подтверждает, что :
- здание, в котором находится застрахованное имущество, не находится: в деревянном строении,  ветхом, аварийном состоянии; не предназначено к сносу;
- c Полисом и Правилами ознакомлен и согласен, экземпляр Полиса на руки получил;
- не владеет сведениями о заключенных с настоящим Страховщиком или другими Страховщиками и действующих на дату вручения Полиса договорах имущественного страхования в отношении указанного в Полисе застрахованного имущества;
Подписывая настоящий Полис, Страхователь выражает свое согласие:
- на получение информации о нем в одном или нескольких кредитных бюро с целью проверки Страховщиком представленной при заключении договора страхования существенной информации. В случае предоставления Страхователем заведомо ложной или недостоверной информации Страховщик оставляет за собой право требовать признания договора страхования недействительным или увеличения размера страховой премии;
- ООО «Абсолют Страхование» на обработку  персональных данных Страхователя в соответствии с ФЗ № 152-ФЗ от 27.07.06г. «О персональных данных» в течение всего срока действия Полиса, а также в течение срока архивного хранения Полиса Страховщиком. В целях настоящего Полиса под персональными понимаются данные, указанные в Полисе, равно как и полученные Страховщиком в ходе его исполнения, которые в дальнейшем могут обрабатываться Страховщиком и/или привлеченными им третьими лицами с использованием средств автоматизации или без использования таких средств посредством: сбора, записи, систематизации, накопления, хранения, уточнения (обновления, изменения), извлечения, использования, передачи (распространения, предоставления, доступа), в том числе трансграничной передачи, обезличивания, блокирования, удаления и уничтожения. Согласие дается на обработку персональных данных в целях исполнения Полиса (договора страхования), информационного сопровождения, в том числе информирования об услугах Страховщика, участия в маркетинговых, рекламных акциях и исследованиях с применением СМС-сообщений, электронной почты и иных доступных способов связи. Согласие  может  быть отозвано посредством направления письменного уведомления Страховщику. Все изменения в условия настоящего Полиса в период его действия могут вноситься по соглашению Сторон с письменного заявления Страхователя путем оформления Дополнений к Полису, которые после их подписания становятся неотъемлемой частью Полиса;
- на получение информации об условиях настоящего Полиса, его исполнении, о новых продуктах, услугах, акциях, специальных предложениях ООО «Абсолют Страхование».
Страхователь имеет право отказаться от договора страхования в любое время. 
Подписывая настоящий Полис, Страхователь признает, что условия, указанные в настоящем полисе, являются  существенными; если при наступлении страхового случая будет установлено, что данные  сведения не соответствуют действительности в целом или в части, Страховщик имеет право отказать в выплате страхового возмещения. </t>
  </si>
  <si>
    <t>Приложения (неотьемлемая часть страхового полиса):</t>
  </si>
  <si>
    <t>Приложение №1 – Комплексные правила страхования иущества физических лиц</t>
  </si>
  <si>
    <t>Страховщик</t>
  </si>
  <si>
    <t xml:space="preserve">Общество с ограниченной ответственностью «Абсолют Страхование» ООО «Aбсолют Страхование» 
115280, г. Москва, ул. Ленинская Слобода, д.26, тел. +7 495 025-77-77, info@absolutins.ru, www.absolutins.ru, ИНН 7728178835, Лицензия ЦБ РФ СИ №2496 </t>
  </si>
  <si>
    <t>В лице</t>
  </si>
  <si>
    <t>ФИО подписанта</t>
  </si>
  <si>
    <t>Должность подписанта</t>
  </si>
  <si>
    <t xml:space="preserve">Доверенность </t>
  </si>
  <si>
    <t>Полис</t>
  </si>
  <si>
    <t>доверенность</t>
  </si>
  <si>
    <t>Подпись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</si>
</sst>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#,##0\ &quot;₽&quot;"/>
    <numFmt numFmtId="165" formatCode="#,##0\ _₽"/>
    <numFmt numFmtId="166" formatCode="0.0"/>
    <numFmt numFmtId="167" formatCode="0.000%"/>
    <numFmt numFmtId="168" formatCode="_-* #,##0\ _₽_-;\-* #,##0\ _₽_-;_-* &quot;-&quot;\ _₽_-;_-@_-"/>
    <numFmt numFmtId="169" formatCode="#,##0.00\ _₽"/>
    <numFmt numFmtId="170" formatCode="_-* #,##0.00\ _₽_-;\-* #,##0.00\ _₽_-;_-* &quot;-&quot;??\ _₽_-;_-@_-"/>
    <numFmt numFmtId="171" formatCode="_-* #,##0.00\ _₽_-;\-* #,##0.00\ _₽_-;_-* &quot;-&quot;\ _₽_-;_-@_-"/>
  </numFmts>
  <fonts count="56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b/>
      <sz val="14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1"/>
      <color theme="1"/>
      <name val="Arial Black"/>
      <family val="2"/>
      <charset val="204"/>
    </font>
    <font>
      <sz val="12"/>
      <color theme="1"/>
      <name val="Arial"/>
      <family val="2"/>
      <charset val="204"/>
    </font>
    <font>
      <sz val="9"/>
      <color theme="1"/>
      <name val="Arial"/>
      <family val="2"/>
      <charset val="204"/>
    </font>
    <font>
      <sz val="11"/>
      <color theme="0" tint="-0.499984740745262"/>
      <name val="Arial Black"/>
      <family val="2"/>
      <charset val="204"/>
    </font>
    <font>
      <b/>
      <sz val="11"/>
      <color rgb="FFFF0000"/>
      <name val="Arial"/>
      <family val="2"/>
      <charset val="204"/>
    </font>
    <font>
      <sz val="11"/>
      <color rgb="FFFF0000"/>
      <name val="Arial"/>
      <family val="2"/>
      <charset val="204"/>
    </font>
    <font>
      <sz val="9"/>
      <color rgb="FFFF0000"/>
      <name val="Arial"/>
      <family val="2"/>
      <charset val="204"/>
    </font>
    <font>
      <sz val="11"/>
      <color theme="8" tint="0.79998168889431442"/>
      <name val="Calibri"/>
      <family val="2"/>
      <charset val="204"/>
      <scheme val="minor"/>
    </font>
    <font>
      <sz val="9"/>
      <color theme="8" tint="0.79998168889431442"/>
      <name val="Calibri"/>
      <family val="2"/>
      <charset val="204"/>
      <scheme val="minor"/>
    </font>
    <font>
      <sz val="9"/>
      <color theme="8" tint="0.79998168889431442"/>
      <name val="Arial"/>
      <family val="2"/>
      <charset val="204"/>
    </font>
    <font>
      <sz val="11"/>
      <color theme="8" tint="0.79998168889431442"/>
      <name val="Arial"/>
      <family val="2"/>
      <charset val="204"/>
    </font>
    <font>
      <sz val="11"/>
      <name val="Calibri"/>
      <family val="2"/>
      <charset val="204"/>
      <scheme val="minor"/>
    </font>
    <font>
      <b/>
      <sz val="10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Arial"/>
      <family val="2"/>
      <charset val="204"/>
    </font>
    <font>
      <sz val="10"/>
      <color rgb="FF7030A0"/>
      <name val="Arial"/>
      <family val="2"/>
      <charset val="204"/>
    </font>
    <font>
      <sz val="11"/>
      <color theme="1" tint="4.9989318521683403E-2"/>
      <name val="Arial"/>
      <family val="2"/>
      <charset val="204"/>
    </font>
    <font>
      <sz val="12"/>
      <color theme="1"/>
      <name val="Arial Black"/>
      <family val="2"/>
      <charset val="204"/>
    </font>
    <font>
      <b/>
      <sz val="11"/>
      <name val="Arial Black"/>
      <family val="2"/>
      <charset val="204"/>
    </font>
    <font>
      <sz val="10"/>
      <color theme="8" tint="0.79998168889431442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1"/>
      <name val="Arial"/>
      <family val="2"/>
      <charset val="204"/>
    </font>
    <font>
      <sz val="8"/>
      <color rgb="FF000000"/>
      <name val="Segoe UI"/>
      <family val="2"/>
      <charset val="204"/>
    </font>
    <font>
      <sz val="11"/>
      <color rgb="FF000000"/>
      <name val="Calibri"/>
      <family val="2"/>
      <charset val="204"/>
    </font>
    <font>
      <b/>
      <sz val="11"/>
      <color rgb="FF000000"/>
      <name val="Arial"/>
      <family val="2"/>
      <charset val="204"/>
    </font>
    <font>
      <sz val="11"/>
      <color theme="1"/>
      <name val="Verdana"/>
      <family val="2"/>
      <charset val="204"/>
    </font>
    <font>
      <b/>
      <sz val="11"/>
      <color theme="1"/>
      <name val="Verdana"/>
      <family val="2"/>
      <charset val="204"/>
    </font>
    <font>
      <b/>
      <sz val="12"/>
      <color theme="1"/>
      <name val="Verdana"/>
      <family val="2"/>
      <charset val="204"/>
    </font>
    <font>
      <sz val="10"/>
      <color theme="1"/>
      <name val="Verdana"/>
      <family val="2"/>
      <charset val="204"/>
    </font>
    <font>
      <b/>
      <sz val="10"/>
      <color theme="1"/>
      <name val="Verdana"/>
      <family val="2"/>
      <charset val="204"/>
    </font>
    <font>
      <sz val="8"/>
      <color theme="1"/>
      <name val="Verdana"/>
      <family val="2"/>
      <charset val="204"/>
    </font>
    <font>
      <u/>
      <sz val="11"/>
      <color theme="10"/>
      <name val="Calibri"/>
      <family val="2"/>
      <charset val="204"/>
      <scheme val="minor"/>
    </font>
    <font>
      <u/>
      <sz val="9"/>
      <color theme="10"/>
      <name val="Verdana"/>
      <family val="2"/>
      <charset val="204"/>
    </font>
    <font>
      <b/>
      <sz val="8"/>
      <color theme="1"/>
      <name val="Verdana"/>
      <family val="2"/>
      <charset val="204"/>
    </font>
    <font>
      <sz val="11"/>
      <color theme="0"/>
      <name val="Calibri"/>
      <family val="2"/>
      <charset val="204"/>
      <scheme val="minor"/>
    </font>
    <font>
      <sz val="9"/>
      <color theme="1"/>
      <name val="Verdana"/>
      <family val="2"/>
      <charset val="204"/>
    </font>
    <font>
      <sz val="11"/>
      <color theme="0"/>
      <name val="Verdana"/>
      <family val="2"/>
      <charset val="204"/>
    </font>
    <font>
      <i/>
      <sz val="9"/>
      <color theme="1"/>
      <name val="Arial"/>
      <family val="2"/>
      <charset val="204"/>
    </font>
    <font>
      <b/>
      <sz val="9"/>
      <color theme="1"/>
      <name val="Verdana"/>
      <family val="2"/>
      <charset val="204"/>
    </font>
    <font>
      <b/>
      <sz val="11"/>
      <color rgb="FF000000"/>
      <name val="Calibri"/>
      <family val="2"/>
      <charset val="204"/>
    </font>
    <font>
      <b/>
      <sz val="8"/>
      <color theme="0"/>
      <name val="Verdana"/>
      <family val="2"/>
      <charset val="204"/>
    </font>
    <font>
      <sz val="8"/>
      <color theme="0"/>
      <name val="Calibri"/>
      <family val="2"/>
      <charset val="204"/>
      <scheme val="minor"/>
    </font>
    <font>
      <u/>
      <sz val="10"/>
      <color theme="10"/>
      <name val="Arial"/>
      <family val="2"/>
      <charset val="204"/>
    </font>
    <font>
      <b/>
      <sz val="10"/>
      <name val="Verdana"/>
      <family val="2"/>
      <charset val="204"/>
    </font>
    <font>
      <sz val="11"/>
      <color theme="4" tint="0.7999816888943144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0"/>
      <name val="Verdana"/>
      <family val="2"/>
      <charset val="204"/>
    </font>
    <font>
      <sz val="9"/>
      <color theme="0"/>
      <name val="Calibri"/>
      <family val="2"/>
      <charset val="204"/>
      <scheme val="minor"/>
    </font>
    <font>
      <sz val="8"/>
      <color theme="0"/>
      <name val="Verdana"/>
      <family val="2"/>
      <charset val="204"/>
    </font>
    <font>
      <i/>
      <sz val="8"/>
      <color theme="1"/>
      <name val="Verdana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9" fillId="0" borderId="0" applyFont="0" applyFill="0" applyBorder="0" applyAlignment="0" applyProtection="0"/>
    <xf numFmtId="0" fontId="37" fillId="0" borderId="0" applyNumberFormat="0" applyFill="0" applyBorder="0" applyAlignment="0" applyProtection="0"/>
  </cellStyleXfs>
  <cellXfs count="578">
    <xf numFmtId="0" fontId="0" fillId="0" borderId="0" xfId="0"/>
    <xf numFmtId="0" fontId="0" fillId="2" borderId="0" xfId="0" applyFill="1"/>
    <xf numFmtId="0" fontId="3" fillId="2" borderId="0" xfId="0" applyFont="1" applyFill="1"/>
    <xf numFmtId="0" fontId="4" fillId="2" borderId="0" xfId="0" applyFont="1" applyFill="1"/>
    <xf numFmtId="165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 applyBorder="1"/>
    <xf numFmtId="165" fontId="2" fillId="2" borderId="0" xfId="0" applyNumberFormat="1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8" xfId="0" applyFill="1" applyBorder="1"/>
    <xf numFmtId="165" fontId="2" fillId="2" borderId="9" xfId="0" applyNumberFormat="1" applyFont="1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2" fillId="2" borderId="11" xfId="0" applyFont="1" applyFill="1" applyBorder="1" applyAlignment="1">
      <alignment horizontal="center"/>
    </xf>
    <xf numFmtId="165" fontId="2" fillId="2" borderId="12" xfId="0" applyNumberFormat="1" applyFont="1" applyFill="1" applyBorder="1"/>
    <xf numFmtId="0" fontId="5" fillId="2" borderId="6" xfId="0" applyFont="1" applyFill="1" applyBorder="1"/>
    <xf numFmtId="0" fontId="2" fillId="2" borderId="13" xfId="0" applyFont="1" applyFill="1" applyBorder="1"/>
    <xf numFmtId="0" fontId="0" fillId="2" borderId="14" xfId="0" applyFill="1" applyBorder="1"/>
    <xf numFmtId="0" fontId="2" fillId="2" borderId="14" xfId="0" applyFont="1" applyFill="1" applyBorder="1" applyAlignment="1">
      <alignment horizontal="center"/>
    </xf>
    <xf numFmtId="165" fontId="2" fillId="2" borderId="14" xfId="0" applyNumberFormat="1" applyFont="1" applyFill="1" applyBorder="1" applyAlignment="1">
      <alignment horizontal="center"/>
    </xf>
    <xf numFmtId="165" fontId="2" fillId="2" borderId="15" xfId="0" applyNumberFormat="1" applyFont="1" applyFill="1" applyBorder="1"/>
    <xf numFmtId="0" fontId="6" fillId="2" borderId="1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8" fillId="2" borderId="0" xfId="0" applyFont="1" applyFill="1"/>
    <xf numFmtId="165" fontId="7" fillId="2" borderId="9" xfId="0" applyNumberFormat="1" applyFont="1" applyFill="1" applyBorder="1"/>
    <xf numFmtId="0" fontId="9" fillId="2" borderId="5" xfId="0" applyFont="1" applyFill="1" applyBorder="1"/>
    <xf numFmtId="0" fontId="1" fillId="2" borderId="6" xfId="0" applyFont="1" applyFill="1" applyBorder="1"/>
    <xf numFmtId="165" fontId="10" fillId="2" borderId="6" xfId="0" applyNumberFormat="1" applyFont="1" applyFill="1" applyBorder="1"/>
    <xf numFmtId="165" fontId="11" fillId="2" borderId="7" xfId="0" applyNumberFormat="1" applyFont="1" applyFill="1" applyBorder="1"/>
    <xf numFmtId="0" fontId="9" fillId="2" borderId="8" xfId="0" applyFont="1" applyFill="1" applyBorder="1"/>
    <xf numFmtId="0" fontId="1" fillId="2" borderId="0" xfId="0" applyFont="1" applyFill="1" applyBorder="1"/>
    <xf numFmtId="165" fontId="10" fillId="2" borderId="0" xfId="0" applyNumberFormat="1" applyFont="1" applyFill="1" applyBorder="1"/>
    <xf numFmtId="165" fontId="11" fillId="2" borderId="9" xfId="0" applyNumberFormat="1" applyFont="1" applyFill="1" applyBorder="1"/>
    <xf numFmtId="0" fontId="12" fillId="2" borderId="0" xfId="0" applyFont="1" applyFill="1" applyAlignment="1">
      <alignment horizontal="center"/>
    </xf>
    <xf numFmtId="0" fontId="12" fillId="2" borderId="0" xfId="0" applyFont="1" applyFill="1"/>
    <xf numFmtId="0" fontId="12" fillId="2" borderId="0" xfId="0" applyFont="1" applyFill="1" applyAlignment="1"/>
    <xf numFmtId="0" fontId="13" fillId="2" borderId="0" xfId="0" applyFont="1" applyFill="1"/>
    <xf numFmtId="165" fontId="14" fillId="2" borderId="0" xfId="0" applyNumberFormat="1" applyFont="1" applyFill="1"/>
    <xf numFmtId="165" fontId="15" fillId="2" borderId="0" xfId="0" applyNumberFormat="1" applyFont="1" applyFill="1"/>
    <xf numFmtId="1" fontId="12" fillId="2" borderId="0" xfId="0" applyNumberFormat="1" applyFont="1" applyFill="1" applyAlignment="1">
      <alignment horizontal="center"/>
    </xf>
    <xf numFmtId="166" fontId="12" fillId="2" borderId="0" xfId="0" applyNumberFormat="1" applyFont="1" applyFill="1"/>
    <xf numFmtId="165" fontId="2" fillId="3" borderId="1" xfId="0" applyNumberFormat="1" applyFont="1" applyFill="1" applyBorder="1" applyAlignment="1" applyProtection="1">
      <protection locked="0"/>
    </xf>
    <xf numFmtId="164" fontId="2" fillId="3" borderId="1" xfId="0" applyNumberFormat="1" applyFont="1" applyFill="1" applyBorder="1" applyAlignment="1" applyProtection="1">
      <alignment horizontal="center"/>
      <protection locked="0"/>
    </xf>
    <xf numFmtId="3" fontId="2" fillId="3" borderId="1" xfId="0" applyNumberFormat="1" applyFont="1" applyFill="1" applyBorder="1" applyAlignment="1" applyProtection="1">
      <alignment horizontal="center"/>
      <protection locked="0"/>
    </xf>
    <xf numFmtId="22" fontId="0" fillId="0" borderId="0" xfId="0" applyNumberFormat="1"/>
    <xf numFmtId="0" fontId="2" fillId="2" borderId="0" xfId="0" applyFont="1" applyFill="1"/>
    <xf numFmtId="0" fontId="16" fillId="2" borderId="0" xfId="0" applyFont="1" applyFill="1"/>
    <xf numFmtId="0" fontId="0" fillId="2" borderId="9" xfId="0" applyFill="1" applyBorder="1"/>
    <xf numFmtId="0" fontId="4" fillId="2" borderId="11" xfId="0" applyFont="1" applyFill="1" applyBorder="1"/>
    <xf numFmtId="0" fontId="12" fillId="2" borderId="8" xfId="0" applyFont="1" applyFill="1" applyBorder="1"/>
    <xf numFmtId="0" fontId="4" fillId="2" borderId="5" xfId="0" applyFont="1" applyFill="1" applyBorder="1"/>
    <xf numFmtId="0" fontId="4" fillId="2" borderId="10" xfId="0" applyFont="1" applyFill="1" applyBorder="1"/>
    <xf numFmtId="0" fontId="4" fillId="2" borderId="13" xfId="0" applyFont="1" applyFill="1" applyBorder="1"/>
    <xf numFmtId="0" fontId="0" fillId="2" borderId="15" xfId="0" applyFill="1" applyBorder="1"/>
    <xf numFmtId="0" fontId="0" fillId="2" borderId="7" xfId="0" applyFill="1" applyBorder="1"/>
    <xf numFmtId="0" fontId="17" fillId="2" borderId="0" xfId="0" applyFont="1" applyFill="1" applyBorder="1" applyAlignment="1">
      <alignment horizontal="center"/>
    </xf>
    <xf numFmtId="0" fontId="18" fillId="2" borderId="6" xfId="0" applyFont="1" applyFill="1" applyBorder="1"/>
    <xf numFmtId="0" fontId="12" fillId="2" borderId="0" xfId="0" applyFont="1" applyFill="1" applyBorder="1"/>
    <xf numFmtId="0" fontId="2" fillId="5" borderId="17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68" fontId="2" fillId="2" borderId="0" xfId="0" applyNumberFormat="1" applyFont="1" applyFill="1" applyAlignment="1">
      <alignment horizontal="center" vertical="center"/>
    </xf>
    <xf numFmtId="0" fontId="20" fillId="2" borderId="0" xfId="0" applyFont="1" applyFill="1" applyAlignment="1">
      <alignment horizontal="center"/>
    </xf>
    <xf numFmtId="169" fontId="2" fillId="2" borderId="0" xfId="0" applyNumberFormat="1" applyFont="1" applyFill="1" applyAlignment="1">
      <alignment horizontal="center" vertical="center"/>
    </xf>
    <xf numFmtId="0" fontId="21" fillId="2" borderId="11" xfId="0" applyFont="1" applyFill="1" applyBorder="1"/>
    <xf numFmtId="0" fontId="21" fillId="2" borderId="0" xfId="0" applyFont="1" applyFill="1" applyBorder="1"/>
    <xf numFmtId="0" fontId="12" fillId="2" borderId="15" xfId="0" applyFont="1" applyFill="1" applyBorder="1"/>
    <xf numFmtId="0" fontId="2" fillId="2" borderId="14" xfId="0" applyFont="1" applyFill="1" applyBorder="1"/>
    <xf numFmtId="0" fontId="17" fillId="2" borderId="25" xfId="0" applyFont="1" applyFill="1" applyBorder="1" applyAlignment="1"/>
    <xf numFmtId="0" fontId="12" fillId="2" borderId="11" xfId="0" applyFont="1" applyFill="1" applyBorder="1"/>
    <xf numFmtId="0" fontId="21" fillId="2" borderId="8" xfId="0" applyFont="1" applyFill="1" applyBorder="1"/>
    <xf numFmtId="0" fontId="21" fillId="2" borderId="9" xfId="0" applyFont="1" applyFill="1" applyBorder="1"/>
    <xf numFmtId="0" fontId="21" fillId="2" borderId="10" xfId="0" applyFont="1" applyFill="1" applyBorder="1"/>
    <xf numFmtId="0" fontId="21" fillId="2" borderId="12" xfId="0" applyFont="1" applyFill="1" applyBorder="1"/>
    <xf numFmtId="165" fontId="4" fillId="4" borderId="17" xfId="0" applyNumberFormat="1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vertical="top"/>
    </xf>
    <xf numFmtId="0" fontId="21" fillId="2" borderId="13" xfId="0" applyFont="1" applyFill="1" applyBorder="1" applyAlignment="1">
      <alignment vertical="top"/>
    </xf>
    <xf numFmtId="0" fontId="21" fillId="2" borderId="14" xfId="0" applyFont="1" applyFill="1" applyBorder="1" applyAlignment="1">
      <alignment vertical="top"/>
    </xf>
    <xf numFmtId="0" fontId="2" fillId="2" borderId="11" xfId="0" applyFont="1" applyFill="1" applyBorder="1"/>
    <xf numFmtId="0" fontId="24" fillId="2" borderId="0" xfId="0" applyFont="1" applyFill="1" applyAlignment="1">
      <alignment horizontal="center"/>
    </xf>
    <xf numFmtId="0" fontId="4" fillId="2" borderId="0" xfId="0" applyFont="1" applyFill="1" applyAlignment="1">
      <alignment wrapText="1"/>
    </xf>
    <xf numFmtId="0" fontId="1" fillId="2" borderId="0" xfId="0" applyFont="1" applyFill="1"/>
    <xf numFmtId="1" fontId="7" fillId="3" borderId="1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/>
    </xf>
    <xf numFmtId="1" fontId="7" fillId="0" borderId="1" xfId="0" applyNumberFormat="1" applyFont="1" applyBorder="1" applyAlignment="1" applyProtection="1">
      <alignment horizontal="center"/>
      <protection locked="0"/>
    </xf>
    <xf numFmtId="0" fontId="5" fillId="2" borderId="0" xfId="0" applyFont="1" applyFill="1" applyBorder="1"/>
    <xf numFmtId="165" fontId="5" fillId="2" borderId="0" xfId="0" applyNumberFormat="1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5" fillId="2" borderId="14" xfId="0" applyFont="1" applyFill="1" applyBorder="1"/>
    <xf numFmtId="165" fontId="5" fillId="2" borderId="14" xfId="0" applyNumberFormat="1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0" fontId="12" fillId="2" borderId="0" xfId="0" applyFont="1" applyFill="1" applyProtection="1">
      <protection locked="0"/>
    </xf>
    <xf numFmtId="0" fontId="26" fillId="2" borderId="0" xfId="0" applyFont="1" applyFill="1"/>
    <xf numFmtId="0" fontId="4" fillId="2" borderId="0" xfId="0" applyFont="1" applyFill="1" applyAlignment="1">
      <alignment horizontal="center"/>
    </xf>
    <xf numFmtId="165" fontId="12" fillId="2" borderId="0" xfId="0" applyNumberFormat="1" applyFont="1" applyFill="1"/>
    <xf numFmtId="2" fontId="12" fillId="2" borderId="0" xfId="0" applyNumberFormat="1" applyFont="1" applyFill="1"/>
    <xf numFmtId="167" fontId="12" fillId="2" borderId="0" xfId="1" applyNumberFormat="1" applyFont="1" applyFill="1"/>
    <xf numFmtId="0" fontId="27" fillId="2" borderId="0" xfId="0" applyFont="1" applyFill="1"/>
    <xf numFmtId="0" fontId="0" fillId="2" borderId="0" xfId="0" applyFont="1" applyFill="1"/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/>
      <protection locked="0"/>
    </xf>
    <xf numFmtId="0" fontId="4" fillId="3" borderId="13" xfId="0" applyFont="1" applyFill="1" applyBorder="1" applyAlignment="1" applyProtection="1">
      <alignment horizontal="center"/>
      <protection locked="0"/>
    </xf>
    <xf numFmtId="0" fontId="4" fillId="3" borderId="22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25" fillId="2" borderId="0" xfId="0" applyFont="1" applyFill="1" applyProtection="1">
      <protection locked="0"/>
    </xf>
    <xf numFmtId="0" fontId="4" fillId="3" borderId="16" xfId="0" applyFont="1" applyFill="1" applyBorder="1" applyAlignment="1" applyProtection="1">
      <alignment horizontal="center"/>
      <protection locked="0"/>
    </xf>
    <xf numFmtId="0" fontId="10" fillId="2" borderId="8" xfId="0" applyFont="1" applyFill="1" applyBorder="1"/>
    <xf numFmtId="0" fontId="0" fillId="3" borderId="0" xfId="0" applyFill="1"/>
    <xf numFmtId="0" fontId="31" fillId="3" borderId="27" xfId="0" applyFont="1" applyFill="1" applyBorder="1"/>
    <xf numFmtId="0" fontId="31" fillId="3" borderId="28" xfId="0" applyFont="1" applyFill="1" applyBorder="1"/>
    <xf numFmtId="0" fontId="31" fillId="3" borderId="26" xfId="0" applyFont="1" applyFill="1" applyBorder="1"/>
    <xf numFmtId="0" fontId="31" fillId="3" borderId="0" xfId="0" applyFont="1" applyFill="1" applyBorder="1"/>
    <xf numFmtId="0" fontId="0" fillId="3" borderId="0" xfId="0" applyFill="1" applyBorder="1"/>
    <xf numFmtId="0" fontId="0" fillId="3" borderId="28" xfId="0" applyFill="1" applyBorder="1"/>
    <xf numFmtId="0" fontId="0" fillId="3" borderId="29" xfId="0" applyFill="1" applyBorder="1"/>
    <xf numFmtId="0" fontId="0" fillId="3" borderId="2" xfId="0" applyFill="1" applyBorder="1"/>
    <xf numFmtId="0" fontId="0" fillId="3" borderId="30" xfId="0" applyFill="1" applyBorder="1"/>
    <xf numFmtId="0" fontId="0" fillId="3" borderId="31" xfId="0" applyFill="1" applyBorder="1"/>
    <xf numFmtId="0" fontId="0" fillId="3" borderId="32" xfId="0" applyFill="1" applyBorder="1"/>
    <xf numFmtId="0" fontId="31" fillId="3" borderId="6" xfId="0" applyFont="1" applyFill="1" applyBorder="1"/>
    <xf numFmtId="0" fontId="0" fillId="3" borderId="7" xfId="0" applyFill="1" applyBorder="1"/>
    <xf numFmtId="0" fontId="0" fillId="3" borderId="9" xfId="0" applyFill="1" applyBorder="1"/>
    <xf numFmtId="0" fontId="16" fillId="2" borderId="8" xfId="0" applyFont="1" applyFill="1" applyBorder="1"/>
    <xf numFmtId="0" fontId="16" fillId="2" borderId="0" xfId="0" applyFont="1" applyFill="1" applyBorder="1"/>
    <xf numFmtId="0" fontId="0" fillId="6" borderId="0" xfId="0" applyFill="1"/>
    <xf numFmtId="165" fontId="4" fillId="4" borderId="25" xfId="0" applyNumberFormat="1" applyFont="1" applyFill="1" applyBorder="1" applyAlignment="1">
      <alignment horizontal="center"/>
    </xf>
    <xf numFmtId="0" fontId="32" fillId="3" borderId="0" xfId="0" applyFont="1" applyFill="1"/>
    <xf numFmtId="0" fontId="36" fillId="0" borderId="0" xfId="0" applyFont="1" applyAlignment="1">
      <alignment vertical="center"/>
    </xf>
    <xf numFmtId="0" fontId="36" fillId="3" borderId="0" xfId="0" applyFont="1" applyFill="1" applyAlignment="1">
      <alignment vertical="center"/>
    </xf>
    <xf numFmtId="0" fontId="36" fillId="3" borderId="0" xfId="0" applyFont="1" applyFill="1"/>
    <xf numFmtId="0" fontId="38" fillId="3" borderId="0" xfId="2" applyFont="1" applyFill="1" applyAlignment="1">
      <alignment vertical="center"/>
    </xf>
    <xf numFmtId="0" fontId="31" fillId="3" borderId="11" xfId="0" applyFont="1" applyFill="1" applyBorder="1"/>
    <xf numFmtId="0" fontId="31" fillId="3" borderId="12" xfId="0" applyFont="1" applyFill="1" applyBorder="1"/>
    <xf numFmtId="0" fontId="32" fillId="3" borderId="5" xfId="0" applyFont="1" applyFill="1" applyBorder="1" applyAlignment="1"/>
    <xf numFmtId="0" fontId="31" fillId="3" borderId="6" xfId="0" applyFont="1" applyFill="1" applyBorder="1" applyAlignment="1"/>
    <xf numFmtId="0" fontId="31" fillId="3" borderId="7" xfId="0" applyFont="1" applyFill="1" applyBorder="1" applyAlignment="1"/>
    <xf numFmtId="0" fontId="34" fillId="3" borderId="0" xfId="0" applyFont="1" applyFill="1" applyBorder="1"/>
    <xf numFmtId="0" fontId="34" fillId="3" borderId="5" xfId="0" applyFont="1" applyFill="1" applyBorder="1"/>
    <xf numFmtId="0" fontId="34" fillId="3" borderId="6" xfId="0" applyFont="1" applyFill="1" applyBorder="1"/>
    <xf numFmtId="0" fontId="34" fillId="3" borderId="8" xfId="0" applyFont="1" applyFill="1" applyBorder="1"/>
    <xf numFmtId="0" fontId="32" fillId="3" borderId="22" xfId="0" applyFont="1" applyFill="1" applyBorder="1" applyAlignment="1">
      <alignment horizontal="center"/>
    </xf>
    <xf numFmtId="0" fontId="42" fillId="3" borderId="26" xfId="0" applyFont="1" applyFill="1" applyBorder="1"/>
    <xf numFmtId="0" fontId="40" fillId="3" borderId="0" xfId="0" applyFont="1" applyFill="1"/>
    <xf numFmtId="0" fontId="47" fillId="3" borderId="0" xfId="0" applyFont="1" applyFill="1"/>
    <xf numFmtId="170" fontId="34" fillId="3" borderId="6" xfId="0" applyNumberFormat="1" applyFont="1" applyFill="1" applyBorder="1" applyAlignment="1">
      <alignment vertical="top"/>
    </xf>
    <xf numFmtId="170" fontId="34" fillId="3" borderId="7" xfId="0" applyNumberFormat="1" applyFont="1" applyFill="1" applyBorder="1" applyAlignment="1">
      <alignment vertical="top"/>
    </xf>
    <xf numFmtId="0" fontId="31" fillId="3" borderId="0" xfId="0" applyFont="1" applyFill="1" applyBorder="1" applyAlignment="1"/>
    <xf numFmtId="0" fontId="31" fillId="3" borderId="9" xfId="0" applyFont="1" applyFill="1" applyBorder="1" applyAlignment="1"/>
    <xf numFmtId="0" fontId="39" fillId="3" borderId="6" xfId="0" applyFont="1" applyFill="1" applyBorder="1" applyAlignment="1"/>
    <xf numFmtId="0" fontId="39" fillId="3" borderId="0" xfId="0" applyFont="1" applyFill="1" applyBorder="1" applyAlignment="1"/>
    <xf numFmtId="0" fontId="39" fillId="3" borderId="9" xfId="0" applyFont="1" applyFill="1" applyBorder="1" applyAlignment="1"/>
    <xf numFmtId="0" fontId="35" fillId="3" borderId="15" xfId="0" applyFont="1" applyFill="1" applyBorder="1" applyAlignment="1">
      <alignment vertical="center"/>
    </xf>
    <xf numFmtId="0" fontId="35" fillId="3" borderId="14" xfId="0" applyFont="1" applyFill="1" applyBorder="1" applyAlignment="1">
      <alignment vertical="center"/>
    </xf>
    <xf numFmtId="0" fontId="35" fillId="3" borderId="5" xfId="0" applyFont="1" applyFill="1" applyBorder="1" applyAlignment="1">
      <alignment vertical="center" wrapText="1"/>
    </xf>
    <xf numFmtId="0" fontId="35" fillId="3" borderId="6" xfId="0" applyFont="1" applyFill="1" applyBorder="1" applyAlignment="1">
      <alignment vertical="center" wrapText="1"/>
    </xf>
    <xf numFmtId="0" fontId="35" fillId="3" borderId="10" xfId="0" applyFont="1" applyFill="1" applyBorder="1" applyAlignment="1">
      <alignment vertical="center" wrapText="1"/>
    </xf>
    <xf numFmtId="0" fontId="35" fillId="3" borderId="11" xfId="0" applyFont="1" applyFill="1" applyBorder="1" applyAlignment="1">
      <alignment vertical="center" wrapText="1"/>
    </xf>
    <xf numFmtId="0" fontId="2" fillId="2" borderId="0" xfId="0" applyFont="1" applyFill="1" applyAlignment="1">
      <alignment horizontal="center"/>
    </xf>
    <xf numFmtId="0" fontId="36" fillId="3" borderId="17" xfId="0" applyFont="1" applyFill="1" applyBorder="1" applyAlignment="1">
      <alignment horizontal="left" indent="1"/>
    </xf>
    <xf numFmtId="0" fontId="36" fillId="3" borderId="8" xfId="0" applyFont="1" applyFill="1" applyBorder="1" applyAlignment="1">
      <alignment horizontal="left" indent="1"/>
    </xf>
    <xf numFmtId="0" fontId="39" fillId="3" borderId="8" xfId="0" applyFont="1" applyFill="1" applyBorder="1" applyAlignment="1">
      <alignment horizontal="left" indent="1"/>
    </xf>
    <xf numFmtId="14" fontId="2" fillId="2" borderId="0" xfId="0" applyNumberFormat="1" applyFont="1" applyFill="1"/>
    <xf numFmtId="0" fontId="2" fillId="2" borderId="0" xfId="0" applyFont="1" applyFill="1" applyAlignment="1">
      <alignment horizontal="right"/>
    </xf>
    <xf numFmtId="0" fontId="36" fillId="3" borderId="5" xfId="0" applyFont="1" applyFill="1" applyBorder="1" applyAlignment="1">
      <alignment horizontal="left" indent="1"/>
    </xf>
    <xf numFmtId="0" fontId="2" fillId="2" borderId="0" xfId="0" applyFont="1" applyFill="1" applyAlignment="1">
      <alignment horizontal="center"/>
    </xf>
    <xf numFmtId="0" fontId="0" fillId="3" borderId="8" xfId="0" applyFill="1" applyBorder="1"/>
    <xf numFmtId="0" fontId="0" fillId="3" borderId="14" xfId="0" applyFill="1" applyBorder="1" applyAlignment="1"/>
    <xf numFmtId="0" fontId="34" fillId="3" borderId="13" xfId="0" applyFont="1" applyFill="1" applyBorder="1" applyAlignment="1"/>
    <xf numFmtId="0" fontId="51" fillId="3" borderId="14" xfId="0" applyFont="1" applyFill="1" applyBorder="1" applyAlignment="1"/>
    <xf numFmtId="0" fontId="36" fillId="3" borderId="0" xfId="0" applyFont="1" applyFill="1" applyBorder="1"/>
    <xf numFmtId="0" fontId="2" fillId="4" borderId="17" xfId="0" applyFont="1" applyFill="1" applyBorder="1" applyAlignment="1">
      <alignment horizontal="right"/>
    </xf>
    <xf numFmtId="14" fontId="2" fillId="0" borderId="17" xfId="0" applyNumberFormat="1" applyFont="1" applyBorder="1" applyAlignment="1" applyProtection="1">
      <alignment horizontal="center"/>
      <protection locked="0"/>
    </xf>
    <xf numFmtId="0" fontId="2" fillId="0" borderId="17" xfId="0" applyFont="1" applyBorder="1" applyAlignment="1" applyProtection="1">
      <alignment horizontal="center"/>
      <protection locked="0"/>
    </xf>
    <xf numFmtId="0" fontId="2" fillId="0" borderId="17" xfId="0" applyNumberFormat="1" applyFont="1" applyBorder="1" applyAlignment="1" applyProtection="1">
      <alignment horizontal="center"/>
      <protection locked="0"/>
    </xf>
    <xf numFmtId="0" fontId="2" fillId="4" borderId="17" xfId="0" applyFont="1" applyFill="1" applyBorder="1" applyAlignment="1">
      <alignment horizontal="right" vertical="center"/>
    </xf>
    <xf numFmtId="14" fontId="4" fillId="0" borderId="17" xfId="0" applyNumberFormat="1" applyFont="1" applyBorder="1" applyAlignment="1" applyProtection="1">
      <alignment horizontal="center" vertical="center"/>
      <protection locked="0"/>
    </xf>
    <xf numFmtId="0" fontId="4" fillId="0" borderId="17" xfId="0" applyFont="1" applyBorder="1" applyAlignment="1" applyProtection="1">
      <alignment horizontal="center" vertical="center"/>
      <protection locked="0"/>
    </xf>
    <xf numFmtId="0" fontId="2" fillId="4" borderId="22" xfId="0" applyFont="1" applyFill="1" applyBorder="1" applyAlignment="1">
      <alignment horizontal="right" vertical="center"/>
    </xf>
    <xf numFmtId="0" fontId="48" fillId="0" borderId="22" xfId="2" applyFont="1" applyBorder="1" applyAlignment="1" applyProtection="1">
      <alignment horizontal="center" vertical="center"/>
      <protection locked="0"/>
    </xf>
    <xf numFmtId="0" fontId="50" fillId="2" borderId="0" xfId="0" applyFont="1" applyFill="1"/>
    <xf numFmtId="0" fontId="12" fillId="2" borderId="0" xfId="0" applyFont="1" applyFill="1" applyAlignment="1">
      <alignment horizontal="right"/>
    </xf>
    <xf numFmtId="14" fontId="2" fillId="0" borderId="17" xfId="0" applyNumberFormat="1" applyFont="1" applyBorder="1" applyAlignment="1" applyProtection="1">
      <alignment horizontal="center"/>
    </xf>
    <xf numFmtId="0" fontId="32" fillId="2" borderId="13" xfId="0" applyFont="1" applyFill="1" applyBorder="1"/>
    <xf numFmtId="0" fontId="34" fillId="2" borderId="13" xfId="0" applyFont="1" applyFill="1" applyBorder="1" applyAlignment="1">
      <alignment horizontal="left"/>
    </xf>
    <xf numFmtId="0" fontId="34" fillId="2" borderId="6" xfId="0" applyFont="1" applyFill="1" applyBorder="1" applyAlignment="1">
      <alignment horizontal="left"/>
    </xf>
    <xf numFmtId="0" fontId="34" fillId="2" borderId="7" xfId="0" applyFont="1" applyFill="1" applyBorder="1" applyAlignment="1">
      <alignment horizontal="left"/>
    </xf>
    <xf numFmtId="0" fontId="31" fillId="2" borderId="15" xfId="0" applyFont="1" applyFill="1" applyBorder="1"/>
    <xf numFmtId="168" fontId="31" fillId="3" borderId="15" xfId="0" applyNumberFormat="1" applyFont="1" applyFill="1" applyBorder="1" applyAlignment="1">
      <alignment horizontal="left"/>
    </xf>
    <xf numFmtId="2" fontId="0" fillId="0" borderId="0" xfId="0" applyNumberFormat="1"/>
    <xf numFmtId="0" fontId="36" fillId="3" borderId="13" xfId="0" applyFont="1" applyFill="1" applyBorder="1" applyAlignment="1"/>
    <xf numFmtId="2" fontId="35" fillId="3" borderId="14" xfId="0" applyNumberFormat="1" applyFont="1" applyFill="1" applyBorder="1" applyAlignment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2" fillId="0" borderId="17" xfId="0" applyNumberFormat="1" applyFont="1" applyBorder="1" applyAlignment="1" applyProtection="1">
      <alignment horizontal="center"/>
    </xf>
    <xf numFmtId="0" fontId="36" fillId="3" borderId="8" xfId="0" applyFont="1" applyFill="1" applyBorder="1"/>
    <xf numFmtId="0" fontId="36" fillId="3" borderId="10" xfId="0" applyFont="1" applyFill="1" applyBorder="1"/>
    <xf numFmtId="165" fontId="52" fillId="3" borderId="0" xfId="0" applyNumberFormat="1" applyFont="1" applyFill="1" applyBorder="1" applyAlignment="1">
      <alignment horizontal="center"/>
    </xf>
    <xf numFmtId="0" fontId="52" fillId="3" borderId="0" xfId="0" applyFont="1" applyFill="1" applyBorder="1"/>
    <xf numFmtId="0" fontId="53" fillId="3" borderId="0" xfId="0" applyFont="1" applyFill="1" applyBorder="1"/>
    <xf numFmtId="0" fontId="53" fillId="3" borderId="2" xfId="0" applyFont="1" applyFill="1" applyBorder="1"/>
    <xf numFmtId="169" fontId="52" fillId="3" borderId="0" xfId="0" applyNumberFormat="1" applyFont="1" applyFill="1" applyBorder="1" applyAlignment="1">
      <alignment horizontal="center"/>
    </xf>
    <xf numFmtId="0" fontId="52" fillId="3" borderId="26" xfId="0" applyFont="1" applyFill="1" applyBorder="1"/>
    <xf numFmtId="0" fontId="42" fillId="3" borderId="0" xfId="0" applyFont="1" applyFill="1" applyBorder="1"/>
    <xf numFmtId="0" fontId="40" fillId="3" borderId="0" xfId="0" applyFont="1" applyFill="1" applyBorder="1"/>
    <xf numFmtId="0" fontId="40" fillId="3" borderId="2" xfId="0" applyFont="1" applyFill="1" applyBorder="1"/>
    <xf numFmtId="0" fontId="54" fillId="3" borderId="0" xfId="0" applyFont="1" applyFill="1" applyBorder="1"/>
    <xf numFmtId="0" fontId="50" fillId="2" borderId="0" xfId="0" applyFont="1" applyFill="1" applyAlignment="1">
      <alignment horizontal="center"/>
    </xf>
    <xf numFmtId="0" fontId="50" fillId="2" borderId="0" xfId="0" applyFont="1" applyFill="1" applyAlignment="1">
      <alignment horizontal="left"/>
    </xf>
    <xf numFmtId="0" fontId="50" fillId="2" borderId="0" xfId="1" applyNumberFormat="1" applyFont="1" applyFill="1"/>
    <xf numFmtId="0" fontId="50" fillId="2" borderId="0" xfId="0" applyFont="1" applyFill="1" applyProtection="1">
      <protection locked="0"/>
    </xf>
    <xf numFmtId="10" fontId="50" fillId="2" borderId="0" xfId="1" applyNumberFormat="1" applyFont="1" applyFill="1"/>
    <xf numFmtId="165" fontId="2" fillId="2" borderId="7" xfId="0" applyNumberFormat="1" applyFont="1" applyFill="1" applyBorder="1" applyAlignment="1">
      <alignment horizontal="center" vertical="center"/>
    </xf>
    <xf numFmtId="165" fontId="2" fillId="2" borderId="12" xfId="0" applyNumberFormat="1" applyFont="1" applyFill="1" applyBorder="1" applyAlignment="1">
      <alignment horizontal="center" vertical="center"/>
    </xf>
    <xf numFmtId="165" fontId="2" fillId="2" borderId="6" xfId="0" applyNumberFormat="1" applyFont="1" applyFill="1" applyBorder="1" applyAlignment="1">
      <alignment horizontal="center" vertical="center"/>
    </xf>
    <xf numFmtId="165" fontId="2" fillId="2" borderId="11" xfId="0" applyNumberFormat="1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left" vertical="center" wrapText="1"/>
    </xf>
    <xf numFmtId="0" fontId="2" fillId="2" borderId="0" xfId="0" applyFont="1" applyFill="1" applyBorder="1" applyAlignment="1">
      <alignment horizontal="left" vertical="center" wrapText="1"/>
    </xf>
    <xf numFmtId="0" fontId="2" fillId="2" borderId="10" xfId="0" applyFont="1" applyFill="1" applyBorder="1" applyAlignment="1">
      <alignment horizontal="left" vertical="center" wrapText="1"/>
    </xf>
    <xf numFmtId="0" fontId="2" fillId="2" borderId="11" xfId="0" applyFont="1" applyFill="1" applyBorder="1" applyAlignment="1">
      <alignment horizontal="left" vertical="center" wrapText="1"/>
    </xf>
    <xf numFmtId="165" fontId="2" fillId="2" borderId="14" xfId="0" applyNumberFormat="1" applyFont="1" applyFill="1" applyBorder="1" applyAlignment="1">
      <alignment horizontal="center"/>
    </xf>
    <xf numFmtId="0" fontId="2" fillId="2" borderId="5" xfId="0" applyFont="1" applyFill="1" applyBorder="1" applyAlignment="1">
      <alignment horizontal="left" wrapText="1"/>
    </xf>
    <xf numFmtId="0" fontId="2" fillId="2" borderId="6" xfId="0" applyFont="1" applyFill="1" applyBorder="1" applyAlignment="1">
      <alignment horizontal="left" wrapText="1"/>
    </xf>
    <xf numFmtId="0" fontId="2" fillId="2" borderId="10" xfId="0" applyFont="1" applyFill="1" applyBorder="1" applyAlignment="1">
      <alignment horizontal="left" wrapText="1"/>
    </xf>
    <xf numFmtId="0" fontId="2" fillId="2" borderId="11" xfId="0" applyFont="1" applyFill="1" applyBorder="1" applyAlignment="1">
      <alignment horizontal="left" wrapText="1"/>
    </xf>
    <xf numFmtId="0" fontId="2" fillId="2" borderId="6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right" wrapText="1"/>
    </xf>
    <xf numFmtId="0" fontId="4" fillId="2" borderId="2" xfId="0" applyFont="1" applyFill="1" applyBorder="1" applyAlignment="1">
      <alignment horizontal="right" wrapText="1"/>
    </xf>
    <xf numFmtId="22" fontId="2" fillId="2" borderId="11" xfId="0" applyNumberFormat="1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7" fillId="2" borderId="0" xfId="0" applyFont="1" applyFill="1" applyAlignment="1">
      <alignment horizontal="right"/>
    </xf>
    <xf numFmtId="0" fontId="7" fillId="3" borderId="1" xfId="0" applyFont="1" applyFill="1" applyBorder="1" applyAlignment="1" applyProtection="1">
      <alignment horizontal="center"/>
      <protection locked="0"/>
    </xf>
    <xf numFmtId="0" fontId="22" fillId="2" borderId="13" xfId="0" applyFont="1" applyFill="1" applyBorder="1" applyAlignment="1">
      <alignment horizontal="center"/>
    </xf>
    <xf numFmtId="0" fontId="22" fillId="2" borderId="14" xfId="0" applyFont="1" applyFill="1" applyBorder="1" applyAlignment="1">
      <alignment horizontal="center"/>
    </xf>
    <xf numFmtId="0" fontId="22" fillId="2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169" fontId="23" fillId="4" borderId="13" xfId="0" applyNumberFormat="1" applyFont="1" applyFill="1" applyBorder="1" applyAlignment="1">
      <alignment horizontal="center" vertical="center"/>
    </xf>
    <xf numFmtId="169" fontId="23" fillId="4" borderId="15" xfId="0" applyNumberFormat="1" applyFont="1" applyFill="1" applyBorder="1" applyAlignment="1">
      <alignment horizontal="center" vertical="center"/>
    </xf>
    <xf numFmtId="0" fontId="21" fillId="2" borderId="6" xfId="0" applyFont="1" applyFill="1" applyBorder="1" applyAlignment="1">
      <alignment horizontal="left" vertical="top" wrapText="1"/>
    </xf>
    <xf numFmtId="0" fontId="21" fillId="2" borderId="7" xfId="0" applyFont="1" applyFill="1" applyBorder="1" applyAlignment="1">
      <alignment horizontal="left" vertical="top" wrapText="1"/>
    </xf>
    <xf numFmtId="0" fontId="21" fillId="2" borderId="11" xfId="0" applyFont="1" applyFill="1" applyBorder="1" applyAlignment="1">
      <alignment horizontal="left" vertical="top" wrapText="1"/>
    </xf>
    <xf numFmtId="0" fontId="21" fillId="2" borderId="12" xfId="0" applyFont="1" applyFill="1" applyBorder="1" applyAlignment="1">
      <alignment horizontal="left" vertical="top" wrapText="1"/>
    </xf>
    <xf numFmtId="0" fontId="4" fillId="3" borderId="1" xfId="0" applyFont="1" applyFill="1" applyBorder="1" applyAlignment="1" applyProtection="1">
      <alignment horizontal="center"/>
      <protection locked="0"/>
    </xf>
    <xf numFmtId="168" fontId="2" fillId="3" borderId="19" xfId="0" applyNumberFormat="1" applyFont="1" applyFill="1" applyBorder="1" applyAlignment="1" applyProtection="1">
      <alignment horizontal="center" vertical="center"/>
      <protection locked="0"/>
    </xf>
    <xf numFmtId="168" fontId="2" fillId="3" borderId="18" xfId="0" applyNumberFormat="1" applyFont="1" applyFill="1" applyBorder="1" applyAlignment="1" applyProtection="1">
      <alignment horizontal="center" vertical="center"/>
      <protection locked="0"/>
    </xf>
    <xf numFmtId="168" fontId="2" fillId="3" borderId="20" xfId="0" applyNumberFormat="1" applyFont="1" applyFill="1" applyBorder="1" applyAlignment="1" applyProtection="1">
      <alignment horizontal="center" vertical="center"/>
      <protection locked="0"/>
    </xf>
    <xf numFmtId="168" fontId="2" fillId="3" borderId="21" xfId="0" applyNumberFormat="1" applyFont="1" applyFill="1" applyBorder="1" applyAlignment="1" applyProtection="1">
      <alignment horizontal="center" vertical="center"/>
      <protection locked="0"/>
    </xf>
    <xf numFmtId="0" fontId="21" fillId="2" borderId="5" xfId="0" applyFont="1" applyFill="1" applyBorder="1" applyAlignment="1">
      <alignment horizontal="left" vertical="top" wrapText="1"/>
    </xf>
    <xf numFmtId="0" fontId="21" fillId="2" borderId="8" xfId="0" applyFont="1" applyFill="1" applyBorder="1" applyAlignment="1">
      <alignment horizontal="left" vertical="top" wrapText="1"/>
    </xf>
    <xf numFmtId="0" fontId="21" fillId="2" borderId="0" xfId="0" applyFont="1" applyFill="1" applyBorder="1" applyAlignment="1">
      <alignment horizontal="left" vertical="top" wrapText="1"/>
    </xf>
    <xf numFmtId="0" fontId="21" fillId="2" borderId="10" xfId="0" applyFont="1" applyFill="1" applyBorder="1" applyAlignment="1">
      <alignment horizontal="left" vertical="top" wrapText="1"/>
    </xf>
    <xf numFmtId="165" fontId="4" fillId="3" borderId="1" xfId="0" applyNumberFormat="1" applyFont="1" applyFill="1" applyBorder="1" applyAlignment="1" applyProtection="1">
      <alignment horizontal="center"/>
      <protection locked="0"/>
    </xf>
    <xf numFmtId="0" fontId="17" fillId="2" borderId="23" xfId="0" applyFont="1" applyFill="1" applyBorder="1" applyAlignment="1">
      <alignment horizontal="center"/>
    </xf>
    <xf numFmtId="0" fontId="17" fillId="2" borderId="26" xfId="0" applyFont="1" applyFill="1" applyBorder="1" applyAlignment="1">
      <alignment horizontal="center"/>
    </xf>
    <xf numFmtId="169" fontId="2" fillId="4" borderId="13" xfId="0" applyNumberFormat="1" applyFont="1" applyFill="1" applyBorder="1" applyAlignment="1">
      <alignment horizontal="center" vertical="center"/>
    </xf>
    <xf numFmtId="169" fontId="2" fillId="4" borderId="15" xfId="0" applyNumberFormat="1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17" fillId="2" borderId="24" xfId="0" applyFont="1" applyFill="1" applyBorder="1" applyAlignment="1">
      <alignment horizontal="center"/>
    </xf>
    <xf numFmtId="169" fontId="2" fillId="4" borderId="5" xfId="0" applyNumberFormat="1" applyFont="1" applyFill="1" applyBorder="1" applyAlignment="1">
      <alignment horizontal="right" vertical="center"/>
    </xf>
    <xf numFmtId="169" fontId="2" fillId="4" borderId="7" xfId="0" applyNumberFormat="1" applyFont="1" applyFill="1" applyBorder="1" applyAlignment="1">
      <alignment horizontal="right" vertical="center"/>
    </xf>
    <xf numFmtId="169" fontId="2" fillId="4" borderId="5" xfId="0" applyNumberFormat="1" applyFont="1" applyFill="1" applyBorder="1" applyAlignment="1">
      <alignment horizontal="center" vertical="center"/>
    </xf>
    <xf numFmtId="169" fontId="2" fillId="4" borderId="7" xfId="0" applyNumberFormat="1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1" fontId="2" fillId="3" borderId="13" xfId="0" applyNumberFormat="1" applyFont="1" applyFill="1" applyBorder="1" applyAlignment="1">
      <alignment horizontal="center"/>
    </xf>
    <xf numFmtId="1" fontId="2" fillId="3" borderId="14" xfId="0" applyNumberFormat="1" applyFont="1" applyFill="1" applyBorder="1" applyAlignment="1">
      <alignment horizontal="center"/>
    </xf>
    <xf numFmtId="1" fontId="2" fillId="3" borderId="15" xfId="0" applyNumberFormat="1" applyFont="1" applyFill="1" applyBorder="1" applyAlignment="1">
      <alignment horizontal="center"/>
    </xf>
    <xf numFmtId="0" fontId="2" fillId="4" borderId="17" xfId="0" applyFont="1" applyFill="1" applyBorder="1" applyAlignment="1">
      <alignment horizontal="right" vertical="center" wrapText="1"/>
    </xf>
    <xf numFmtId="0" fontId="20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0" borderId="17" xfId="0" applyFont="1" applyBorder="1" applyAlignment="1" applyProtection="1">
      <alignment horizontal="center" vertical="center" wrapText="1"/>
      <protection locked="0"/>
    </xf>
    <xf numFmtId="0" fontId="4" fillId="0" borderId="17" xfId="0" applyFont="1" applyBorder="1" applyAlignment="1" applyProtection="1">
      <alignment horizontal="center" vertical="center"/>
      <protection locked="0"/>
    </xf>
    <xf numFmtId="0" fontId="31" fillId="3" borderId="13" xfId="0" applyFont="1" applyFill="1" applyBorder="1" applyAlignment="1">
      <alignment horizontal="center"/>
    </xf>
    <xf numFmtId="0" fontId="31" fillId="3" borderId="14" xfId="0" applyFont="1" applyFill="1" applyBorder="1" applyAlignment="1">
      <alignment horizontal="center"/>
    </xf>
    <xf numFmtId="0" fontId="31" fillId="3" borderId="15" xfId="0" applyFont="1" applyFill="1" applyBorder="1" applyAlignment="1">
      <alignment horizontal="center"/>
    </xf>
    <xf numFmtId="0" fontId="36" fillId="2" borderId="5" xfId="0" applyFont="1" applyFill="1" applyBorder="1" applyAlignment="1">
      <alignment horizontal="left"/>
    </xf>
    <xf numFmtId="0" fontId="36" fillId="2" borderId="6" xfId="0" applyFont="1" applyFill="1" applyBorder="1" applyAlignment="1">
      <alignment horizontal="left"/>
    </xf>
    <xf numFmtId="0" fontId="36" fillId="2" borderId="7" xfId="0" applyFont="1" applyFill="1" applyBorder="1" applyAlignment="1">
      <alignment horizontal="left"/>
    </xf>
    <xf numFmtId="0" fontId="36" fillId="2" borderId="13" xfId="0" applyFont="1" applyFill="1" applyBorder="1" applyAlignment="1">
      <alignment horizontal="left"/>
    </xf>
    <xf numFmtId="0" fontId="36" fillId="2" borderId="14" xfId="0" applyFont="1" applyFill="1" applyBorder="1" applyAlignment="1">
      <alignment horizontal="left"/>
    </xf>
    <xf numFmtId="0" fontId="36" fillId="2" borderId="15" xfId="0" applyFont="1" applyFill="1" applyBorder="1" applyAlignment="1">
      <alignment horizontal="left"/>
    </xf>
    <xf numFmtId="0" fontId="34" fillId="3" borderId="13" xfId="0" applyFont="1" applyFill="1" applyBorder="1" applyAlignment="1">
      <alignment horizontal="center"/>
    </xf>
    <xf numFmtId="0" fontId="34" fillId="3" borderId="14" xfId="0" applyFont="1" applyFill="1" applyBorder="1" applyAlignment="1">
      <alignment horizontal="center"/>
    </xf>
    <xf numFmtId="0" fontId="34" fillId="3" borderId="15" xfId="0" applyFont="1" applyFill="1" applyBorder="1" applyAlignment="1">
      <alignment horizontal="center"/>
    </xf>
    <xf numFmtId="0" fontId="32" fillId="3" borderId="0" xfId="0" applyFont="1" applyFill="1" applyBorder="1" applyAlignment="1" applyProtection="1">
      <alignment horizontal="left"/>
    </xf>
    <xf numFmtId="49" fontId="32" fillId="3" borderId="0" xfId="0" applyNumberFormat="1" applyFont="1" applyFill="1" applyBorder="1" applyAlignment="1">
      <alignment horizontal="center"/>
    </xf>
    <xf numFmtId="0" fontId="35" fillId="3" borderId="0" xfId="0" applyFont="1" applyFill="1" applyBorder="1" applyAlignment="1">
      <alignment horizontal="center" wrapText="1"/>
    </xf>
    <xf numFmtId="0" fontId="34" fillId="2" borderId="17" xfId="0" applyFont="1" applyFill="1" applyBorder="1" applyAlignment="1">
      <alignment horizontal="left"/>
    </xf>
    <xf numFmtId="0" fontId="35" fillId="2" borderId="13" xfId="0" applyFont="1" applyFill="1" applyBorder="1" applyAlignment="1">
      <alignment horizontal="center"/>
    </xf>
    <xf numFmtId="0" fontId="35" fillId="2" borderId="14" xfId="0" applyFont="1" applyFill="1" applyBorder="1" applyAlignment="1">
      <alignment horizontal="center"/>
    </xf>
    <xf numFmtId="0" fontId="35" fillId="2" borderId="15" xfId="0" applyFont="1" applyFill="1" applyBorder="1" applyAlignment="1">
      <alignment horizontal="center"/>
    </xf>
    <xf numFmtId="0" fontId="34" fillId="2" borderId="5" xfId="0" applyFont="1" applyFill="1" applyBorder="1" applyAlignment="1">
      <alignment horizontal="left" wrapText="1"/>
    </xf>
    <xf numFmtId="0" fontId="34" fillId="2" borderId="6" xfId="0" applyFont="1" applyFill="1" applyBorder="1" applyAlignment="1">
      <alignment horizontal="left" wrapText="1"/>
    </xf>
    <xf numFmtId="0" fontId="34" fillId="2" borderId="7" xfId="0" applyFont="1" applyFill="1" applyBorder="1" applyAlignment="1">
      <alignment horizontal="left" wrapText="1"/>
    </xf>
    <xf numFmtId="0" fontId="34" fillId="2" borderId="10" xfId="0" applyFont="1" applyFill="1" applyBorder="1" applyAlignment="1">
      <alignment horizontal="left" wrapText="1"/>
    </xf>
    <xf numFmtId="0" fontId="34" fillId="2" borderId="11" xfId="0" applyFont="1" applyFill="1" applyBorder="1" applyAlignment="1">
      <alignment horizontal="left" wrapText="1"/>
    </xf>
    <xf numFmtId="0" fontId="34" fillId="2" borderId="12" xfId="0" applyFont="1" applyFill="1" applyBorder="1" applyAlignment="1">
      <alignment horizontal="left" wrapText="1"/>
    </xf>
    <xf numFmtId="165" fontId="52" fillId="3" borderId="26" xfId="0" applyNumberFormat="1" applyFont="1" applyFill="1" applyBorder="1" applyAlignment="1">
      <alignment horizontal="center"/>
    </xf>
    <xf numFmtId="165" fontId="52" fillId="3" borderId="0" xfId="0" applyNumberFormat="1" applyFont="1" applyFill="1" applyBorder="1" applyAlignment="1">
      <alignment horizontal="center"/>
    </xf>
    <xf numFmtId="0" fontId="34" fillId="2" borderId="22" xfId="0" applyFont="1" applyFill="1" applyBorder="1" applyAlignment="1">
      <alignment horizontal="left"/>
    </xf>
    <xf numFmtId="168" fontId="31" fillId="3" borderId="5" xfId="0" applyNumberFormat="1" applyFont="1" applyFill="1" applyBorder="1" applyAlignment="1">
      <alignment horizontal="center" vertical="center"/>
    </xf>
    <xf numFmtId="168" fontId="31" fillId="3" borderId="7" xfId="0" applyNumberFormat="1" applyFont="1" applyFill="1" applyBorder="1" applyAlignment="1">
      <alignment horizontal="center" vertical="center"/>
    </xf>
    <xf numFmtId="168" fontId="31" fillId="3" borderId="10" xfId="0" applyNumberFormat="1" applyFont="1" applyFill="1" applyBorder="1" applyAlignment="1">
      <alignment horizontal="center" vertical="center"/>
    </xf>
    <xf numFmtId="168" fontId="31" fillId="3" borderId="12" xfId="0" applyNumberFormat="1" applyFont="1" applyFill="1" applyBorder="1" applyAlignment="1">
      <alignment horizontal="center" vertical="center"/>
    </xf>
    <xf numFmtId="169" fontId="31" fillId="3" borderId="5" xfId="0" applyNumberFormat="1" applyFont="1" applyFill="1" applyBorder="1" applyAlignment="1">
      <alignment horizontal="center" vertical="center"/>
    </xf>
    <xf numFmtId="169" fontId="31" fillId="3" borderId="7" xfId="0" applyNumberFormat="1" applyFont="1" applyFill="1" applyBorder="1" applyAlignment="1">
      <alignment horizontal="center" vertical="center"/>
    </xf>
    <xf numFmtId="169" fontId="31" fillId="3" borderId="10" xfId="0" applyNumberFormat="1" applyFont="1" applyFill="1" applyBorder="1" applyAlignment="1">
      <alignment horizontal="center" vertical="center"/>
    </xf>
    <xf numFmtId="169" fontId="31" fillId="3" borderId="12" xfId="0" applyNumberFormat="1" applyFont="1" applyFill="1" applyBorder="1" applyAlignment="1">
      <alignment horizontal="center" vertical="center"/>
    </xf>
    <xf numFmtId="0" fontId="33" fillId="3" borderId="5" xfId="0" applyFont="1" applyFill="1" applyBorder="1" applyAlignment="1">
      <alignment horizontal="right"/>
    </xf>
    <xf numFmtId="0" fontId="33" fillId="3" borderId="7" xfId="0" applyFont="1" applyFill="1" applyBorder="1" applyAlignment="1">
      <alignment horizontal="right"/>
    </xf>
    <xf numFmtId="168" fontId="32" fillId="3" borderId="5" xfId="0" applyNumberFormat="1" applyFont="1" applyFill="1" applyBorder="1" applyAlignment="1">
      <alignment horizontal="center"/>
    </xf>
    <xf numFmtId="168" fontId="32" fillId="3" borderId="7" xfId="0" applyNumberFormat="1" applyFont="1" applyFill="1" applyBorder="1" applyAlignment="1">
      <alignment horizontal="center"/>
    </xf>
    <xf numFmtId="169" fontId="32" fillId="3" borderId="5" xfId="0" applyNumberFormat="1" applyFont="1" applyFill="1" applyBorder="1" applyAlignment="1">
      <alignment horizontal="center"/>
    </xf>
    <xf numFmtId="169" fontId="32" fillId="3" borderId="7" xfId="0" applyNumberFormat="1" applyFont="1" applyFill="1" applyBorder="1" applyAlignment="1">
      <alignment horizontal="center"/>
    </xf>
    <xf numFmtId="168" fontId="31" fillId="3" borderId="13" xfId="0" applyNumberFormat="1" applyFont="1" applyFill="1" applyBorder="1" applyAlignment="1">
      <alignment horizontal="center" vertical="center"/>
    </xf>
    <xf numFmtId="168" fontId="31" fillId="3" borderId="15" xfId="0" applyNumberFormat="1" applyFont="1" applyFill="1" applyBorder="1" applyAlignment="1">
      <alignment horizontal="center" vertical="center"/>
    </xf>
    <xf numFmtId="169" fontId="31" fillId="3" borderId="13" xfId="0" applyNumberFormat="1" applyFont="1" applyFill="1" applyBorder="1" applyAlignment="1">
      <alignment horizontal="center"/>
    </xf>
    <xf numFmtId="169" fontId="31" fillId="3" borderId="15" xfId="0" applyNumberFormat="1" applyFont="1" applyFill="1" applyBorder="1" applyAlignment="1">
      <alignment horizontal="center"/>
    </xf>
    <xf numFmtId="0" fontId="52" fillId="3" borderId="0" xfId="0" applyFont="1" applyFill="1" applyBorder="1" applyAlignment="1">
      <alignment horizontal="left"/>
    </xf>
    <xf numFmtId="0" fontId="34" fillId="2" borderId="13" xfId="0" applyFont="1" applyFill="1" applyBorder="1" applyAlignment="1">
      <alignment horizontal="left"/>
    </xf>
    <xf numFmtId="0" fontId="34" fillId="2" borderId="14" xfId="0" applyFont="1" applyFill="1" applyBorder="1" applyAlignment="1">
      <alignment horizontal="left"/>
    </xf>
    <xf numFmtId="0" fontId="34" fillId="2" borderId="15" xfId="0" applyFont="1" applyFill="1" applyBorder="1" applyAlignment="1">
      <alignment horizontal="left"/>
    </xf>
    <xf numFmtId="0" fontId="34" fillId="3" borderId="6" xfId="0" applyFont="1" applyFill="1" applyBorder="1" applyAlignment="1">
      <alignment horizontal="left" vertical="center" wrapText="1"/>
    </xf>
    <xf numFmtId="0" fontId="34" fillId="3" borderId="7" xfId="0" applyFont="1" applyFill="1" applyBorder="1" applyAlignment="1">
      <alignment horizontal="left" vertical="center" wrapText="1"/>
    </xf>
    <xf numFmtId="0" fontId="34" fillId="3" borderId="0" xfId="0" applyFont="1" applyFill="1" applyBorder="1" applyAlignment="1">
      <alignment horizontal="left" vertical="center" wrapText="1"/>
    </xf>
    <xf numFmtId="0" fontId="34" fillId="3" borderId="9" xfId="0" applyFont="1" applyFill="1" applyBorder="1" applyAlignment="1">
      <alignment horizontal="left" vertical="center" wrapText="1"/>
    </xf>
    <xf numFmtId="0" fontId="46" fillId="3" borderId="0" xfId="0" applyFont="1" applyFill="1" applyBorder="1" applyAlignment="1">
      <alignment horizontal="center" wrapText="1"/>
    </xf>
    <xf numFmtId="0" fontId="32" fillId="3" borderId="0" xfId="0" applyFont="1" applyFill="1" applyBorder="1" applyAlignment="1">
      <alignment horizontal="right"/>
    </xf>
    <xf numFmtId="0" fontId="32" fillId="2" borderId="13" xfId="0" applyFont="1" applyFill="1" applyBorder="1" applyAlignment="1">
      <alignment horizontal="center"/>
    </xf>
    <xf numFmtId="0" fontId="32" fillId="2" borderId="14" xfId="0" applyFont="1" applyFill="1" applyBorder="1" applyAlignment="1">
      <alignment horizontal="center"/>
    </xf>
    <xf numFmtId="0" fontId="32" fillId="2" borderId="15" xfId="0" applyFont="1" applyFill="1" applyBorder="1" applyAlignment="1">
      <alignment horizontal="center"/>
    </xf>
    <xf numFmtId="0" fontId="34" fillId="3" borderId="5" xfId="0" applyFont="1" applyFill="1" applyBorder="1" applyAlignment="1">
      <alignment horizontal="center"/>
    </xf>
    <xf numFmtId="0" fontId="34" fillId="3" borderId="7" xfId="0" applyFont="1" applyFill="1" applyBorder="1" applyAlignment="1">
      <alignment horizontal="center"/>
    </xf>
    <xf numFmtId="0" fontId="32" fillId="3" borderId="5" xfId="0" applyFont="1" applyFill="1" applyBorder="1" applyAlignment="1">
      <alignment horizontal="center"/>
    </xf>
    <xf numFmtId="0" fontId="32" fillId="3" borderId="7" xfId="0" applyFont="1" applyFill="1" applyBorder="1" applyAlignment="1">
      <alignment horizontal="center"/>
    </xf>
    <xf numFmtId="0" fontId="34" fillId="2" borderId="5" xfId="0" applyFont="1" applyFill="1" applyBorder="1" applyAlignment="1">
      <alignment horizontal="center" vertical="center"/>
    </xf>
    <xf numFmtId="0" fontId="34" fillId="2" borderId="7" xfId="0" applyFont="1" applyFill="1" applyBorder="1" applyAlignment="1">
      <alignment horizontal="center" vertical="center"/>
    </xf>
    <xf numFmtId="0" fontId="34" fillId="2" borderId="8" xfId="0" applyFont="1" applyFill="1" applyBorder="1" applyAlignment="1">
      <alignment horizontal="center" vertical="center"/>
    </xf>
    <xf numFmtId="0" fontId="34" fillId="2" borderId="9" xfId="0" applyFont="1" applyFill="1" applyBorder="1" applyAlignment="1">
      <alignment horizontal="center" vertical="center"/>
    </xf>
    <xf numFmtId="0" fontId="34" fillId="2" borderId="10" xfId="0" applyFont="1" applyFill="1" applyBorder="1" applyAlignment="1">
      <alignment horizontal="center" vertical="center"/>
    </xf>
    <xf numFmtId="0" fontId="34" fillId="2" borderId="12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wrapText="1"/>
    </xf>
    <xf numFmtId="0" fontId="34" fillId="2" borderId="7" xfId="0" applyFont="1" applyFill="1" applyBorder="1" applyAlignment="1">
      <alignment horizontal="center" wrapText="1"/>
    </xf>
    <xf numFmtId="0" fontId="34" fillId="2" borderId="10" xfId="0" applyFont="1" applyFill="1" applyBorder="1" applyAlignment="1">
      <alignment horizontal="center" wrapText="1"/>
    </xf>
    <xf numFmtId="0" fontId="34" fillId="2" borderId="12" xfId="0" applyFont="1" applyFill="1" applyBorder="1" applyAlignment="1">
      <alignment horizontal="center" wrapText="1"/>
    </xf>
    <xf numFmtId="0" fontId="34" fillId="3" borderId="5" xfId="0" applyFont="1" applyFill="1" applyBorder="1" applyAlignment="1">
      <alignment horizontal="left" vertical="center"/>
    </xf>
    <xf numFmtId="0" fontId="34" fillId="3" borderId="6" xfId="0" applyFont="1" applyFill="1" applyBorder="1" applyAlignment="1">
      <alignment horizontal="left" vertical="center"/>
    </xf>
    <xf numFmtId="0" fontId="34" fillId="3" borderId="7" xfId="0" applyFont="1" applyFill="1" applyBorder="1" applyAlignment="1">
      <alignment horizontal="left" vertical="center"/>
    </xf>
    <xf numFmtId="0" fontId="34" fillId="3" borderId="10" xfId="0" applyFont="1" applyFill="1" applyBorder="1" applyAlignment="1">
      <alignment horizontal="left" vertical="center"/>
    </xf>
    <xf numFmtId="0" fontId="34" fillId="3" borderId="11" xfId="0" applyFont="1" applyFill="1" applyBorder="1" applyAlignment="1">
      <alignment horizontal="left" vertical="center"/>
    </xf>
    <xf numFmtId="0" fontId="34" fillId="3" borderId="12" xfId="0" applyFont="1" applyFill="1" applyBorder="1" applyAlignment="1">
      <alignment horizontal="left" vertical="center"/>
    </xf>
    <xf numFmtId="0" fontId="41" fillId="2" borderId="10" xfId="0" applyFont="1" applyFill="1" applyBorder="1" applyAlignment="1">
      <alignment horizontal="center" wrapText="1"/>
    </xf>
    <xf numFmtId="0" fontId="41" fillId="2" borderId="12" xfId="0" applyFont="1" applyFill="1" applyBorder="1" applyAlignment="1">
      <alignment horizontal="center" wrapText="1"/>
    </xf>
    <xf numFmtId="0" fontId="41" fillId="3" borderId="13" xfId="0" applyFont="1" applyFill="1" applyBorder="1" applyAlignment="1">
      <alignment horizontal="left" vertical="center" wrapText="1"/>
    </xf>
    <xf numFmtId="0" fontId="41" fillId="3" borderId="14" xfId="0" applyFont="1" applyFill="1" applyBorder="1" applyAlignment="1">
      <alignment horizontal="left" vertical="center" wrapText="1"/>
    </xf>
    <xf numFmtId="0" fontId="41" fillId="3" borderId="15" xfId="0" applyFont="1" applyFill="1" applyBorder="1" applyAlignment="1">
      <alignment horizontal="left" vertical="center" wrapText="1"/>
    </xf>
    <xf numFmtId="0" fontId="34" fillId="2" borderId="7" xfId="0" applyFont="1" applyFill="1" applyBorder="1" applyAlignment="1">
      <alignment horizontal="center"/>
    </xf>
    <xf numFmtId="0" fontId="34" fillId="2" borderId="10" xfId="0" applyFont="1" applyFill="1" applyBorder="1" applyAlignment="1">
      <alignment horizontal="center"/>
    </xf>
    <xf numFmtId="0" fontId="34" fillId="2" borderId="12" xfId="0" applyFont="1" applyFill="1" applyBorder="1" applyAlignment="1">
      <alignment horizontal="center"/>
    </xf>
    <xf numFmtId="0" fontId="34" fillId="3" borderId="5" xfId="0" applyFont="1" applyFill="1" applyBorder="1" applyAlignment="1">
      <alignment horizontal="left" vertical="center" wrapText="1"/>
    </xf>
    <xf numFmtId="0" fontId="34" fillId="3" borderId="8" xfId="0" applyFont="1" applyFill="1" applyBorder="1" applyAlignment="1">
      <alignment horizontal="left" vertical="center" wrapText="1"/>
    </xf>
    <xf numFmtId="0" fontId="34" fillId="3" borderId="10" xfId="0" applyFont="1" applyFill="1" applyBorder="1" applyAlignment="1">
      <alignment horizontal="left" vertical="center" wrapText="1"/>
    </xf>
    <xf numFmtId="0" fontId="34" fillId="3" borderId="11" xfId="0" applyFont="1" applyFill="1" applyBorder="1" applyAlignment="1">
      <alignment horizontal="left" vertical="center" wrapText="1"/>
    </xf>
    <xf numFmtId="0" fontId="34" fillId="3" borderId="12" xfId="0" applyFont="1" applyFill="1" applyBorder="1" applyAlignment="1">
      <alignment horizontal="left" vertical="center" wrapText="1"/>
    </xf>
    <xf numFmtId="0" fontId="41" fillId="3" borderId="5" xfId="0" applyFont="1" applyFill="1" applyBorder="1" applyAlignment="1">
      <alignment horizontal="left"/>
    </xf>
    <xf numFmtId="0" fontId="41" fillId="3" borderId="6" xfId="0" applyFont="1" applyFill="1" applyBorder="1" applyAlignment="1">
      <alignment horizontal="left"/>
    </xf>
    <xf numFmtId="0" fontId="41" fillId="3" borderId="7" xfId="0" applyFont="1" applyFill="1" applyBorder="1" applyAlignment="1">
      <alignment horizontal="left"/>
    </xf>
    <xf numFmtId="0" fontId="44" fillId="3" borderId="13" xfId="0" applyFont="1" applyFill="1" applyBorder="1" applyAlignment="1">
      <alignment horizontal="center"/>
    </xf>
    <xf numFmtId="0" fontId="44" fillId="3" borderId="14" xfId="0" applyFont="1" applyFill="1" applyBorder="1" applyAlignment="1">
      <alignment horizontal="center"/>
    </xf>
    <xf numFmtId="0" fontId="44" fillId="3" borderId="15" xfId="0" applyFont="1" applyFill="1" applyBorder="1" applyAlignment="1">
      <alignment horizontal="center"/>
    </xf>
    <xf numFmtId="0" fontId="44" fillId="3" borderId="5" xfId="0" applyFont="1" applyFill="1" applyBorder="1" applyAlignment="1">
      <alignment horizontal="center"/>
    </xf>
    <xf numFmtId="0" fontId="44" fillId="3" borderId="6" xfId="0" applyFont="1" applyFill="1" applyBorder="1" applyAlignment="1">
      <alignment horizontal="center"/>
    </xf>
    <xf numFmtId="0" fontId="44" fillId="3" borderId="7" xfId="0" applyFont="1" applyFill="1" applyBorder="1" applyAlignment="1">
      <alignment horizontal="center"/>
    </xf>
    <xf numFmtId="0" fontId="36" fillId="3" borderId="5" xfId="0" applyFont="1" applyFill="1" applyBorder="1" applyAlignment="1">
      <alignment horizontal="left" vertical="top" wrapText="1"/>
    </xf>
    <xf numFmtId="0" fontId="36" fillId="3" borderId="6" xfId="0" applyFont="1" applyFill="1" applyBorder="1" applyAlignment="1">
      <alignment horizontal="left" vertical="top" wrapText="1"/>
    </xf>
    <xf numFmtId="0" fontId="36" fillId="3" borderId="7" xfId="0" applyFont="1" applyFill="1" applyBorder="1" applyAlignment="1">
      <alignment horizontal="left" vertical="top" wrapText="1"/>
    </xf>
    <xf numFmtId="0" fontId="36" fillId="3" borderId="0" xfId="0" applyFont="1" applyFill="1" applyBorder="1" applyAlignment="1">
      <alignment horizontal="center"/>
    </xf>
    <xf numFmtId="0" fontId="36" fillId="3" borderId="9" xfId="0" applyFont="1" applyFill="1" applyBorder="1" applyAlignment="1">
      <alignment horizontal="center"/>
    </xf>
    <xf numFmtId="1" fontId="36" fillId="3" borderId="11" xfId="0" applyNumberFormat="1" applyFont="1" applyFill="1" applyBorder="1" applyAlignment="1">
      <alignment horizontal="center"/>
    </xf>
    <xf numFmtId="0" fontId="36" fillId="3" borderId="11" xfId="0" applyFont="1" applyFill="1" applyBorder="1" applyAlignment="1">
      <alignment horizontal="center"/>
    </xf>
    <xf numFmtId="0" fontId="36" fillId="3" borderId="8" xfId="0" applyFont="1" applyFill="1" applyBorder="1" applyAlignment="1">
      <alignment horizontal="center"/>
    </xf>
    <xf numFmtId="0" fontId="39" fillId="3" borderId="10" xfId="0" applyFont="1" applyFill="1" applyBorder="1" applyAlignment="1">
      <alignment horizontal="center"/>
    </xf>
    <xf numFmtId="0" fontId="39" fillId="3" borderId="11" xfId="0" applyFont="1" applyFill="1" applyBorder="1" applyAlignment="1">
      <alignment horizontal="center"/>
    </xf>
    <xf numFmtId="0" fontId="39" fillId="3" borderId="12" xfId="0" applyFont="1" applyFill="1" applyBorder="1" applyAlignment="1">
      <alignment horizontal="center"/>
    </xf>
    <xf numFmtId="0" fontId="55" fillId="3" borderId="5" xfId="0" applyFont="1" applyFill="1" applyBorder="1" applyAlignment="1">
      <alignment horizontal="center" vertical="center"/>
    </xf>
    <xf numFmtId="0" fontId="55" fillId="3" borderId="6" xfId="0" applyFont="1" applyFill="1" applyBorder="1" applyAlignment="1">
      <alignment horizontal="center" vertical="center"/>
    </xf>
    <xf numFmtId="0" fontId="55" fillId="3" borderId="7" xfId="0" applyFont="1" applyFill="1" applyBorder="1" applyAlignment="1">
      <alignment horizontal="center" vertical="center"/>
    </xf>
    <xf numFmtId="0" fontId="35" fillId="3" borderId="14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36" fillId="0" borderId="5" xfId="0" applyNumberFormat="1" applyFont="1" applyBorder="1" applyAlignment="1">
      <alignment horizontal="left" wrapText="1"/>
    </xf>
    <xf numFmtId="0" fontId="36" fillId="0" borderId="6" xfId="0" applyNumberFormat="1" applyFont="1" applyBorder="1" applyAlignment="1">
      <alignment horizontal="left" wrapText="1"/>
    </xf>
    <xf numFmtId="0" fontId="36" fillId="0" borderId="7" xfId="0" applyNumberFormat="1" applyFont="1" applyBorder="1" applyAlignment="1">
      <alignment horizontal="left" wrapText="1"/>
    </xf>
    <xf numFmtId="0" fontId="36" fillId="0" borderId="10" xfId="0" applyNumberFormat="1" applyFont="1" applyBorder="1" applyAlignment="1">
      <alignment horizontal="left" wrapText="1"/>
    </xf>
    <xf numFmtId="0" fontId="36" fillId="0" borderId="11" xfId="0" applyNumberFormat="1" applyFont="1" applyBorder="1" applyAlignment="1">
      <alignment horizontal="left" wrapText="1"/>
    </xf>
    <xf numFmtId="0" fontId="36" fillId="0" borderId="12" xfId="0" applyNumberFormat="1" applyFont="1" applyBorder="1" applyAlignment="1">
      <alignment horizontal="left" wrapText="1"/>
    </xf>
    <xf numFmtId="0" fontId="36" fillId="3" borderId="5" xfId="0" applyFont="1" applyFill="1" applyBorder="1" applyAlignment="1">
      <alignment horizontal="left" wrapText="1"/>
    </xf>
    <xf numFmtId="0" fontId="36" fillId="3" borderId="6" xfId="0" applyFont="1" applyFill="1" applyBorder="1" applyAlignment="1">
      <alignment horizontal="left" wrapText="1"/>
    </xf>
    <xf numFmtId="0" fontId="36" fillId="3" borderId="7" xfId="0" applyFont="1" applyFill="1" applyBorder="1" applyAlignment="1">
      <alignment horizontal="left" wrapText="1"/>
    </xf>
    <xf numFmtId="0" fontId="36" fillId="3" borderId="10" xfId="0" applyFont="1" applyFill="1" applyBorder="1" applyAlignment="1">
      <alignment horizontal="left" wrapText="1"/>
    </xf>
    <xf numFmtId="0" fontId="36" fillId="3" borderId="11" xfId="0" applyFont="1" applyFill="1" applyBorder="1" applyAlignment="1">
      <alignment horizontal="left" wrapText="1"/>
    </xf>
    <xf numFmtId="0" fontId="36" fillId="3" borderId="12" xfId="0" applyFont="1" applyFill="1" applyBorder="1" applyAlignment="1">
      <alignment horizontal="left" wrapText="1"/>
    </xf>
    <xf numFmtId="0" fontId="36" fillId="0" borderId="5" xfId="0" applyFont="1" applyBorder="1" applyAlignment="1">
      <alignment horizontal="left" wrapText="1"/>
    </xf>
    <xf numFmtId="0" fontId="36" fillId="0" borderId="6" xfId="0" applyFont="1" applyBorder="1" applyAlignment="1">
      <alignment horizontal="left"/>
    </xf>
    <xf numFmtId="0" fontId="36" fillId="0" borderId="7" xfId="0" applyFont="1" applyBorder="1" applyAlignment="1">
      <alignment horizontal="left"/>
    </xf>
    <xf numFmtId="0" fontId="36" fillId="0" borderId="8" xfId="0" applyFont="1" applyBorder="1" applyAlignment="1">
      <alignment horizontal="left"/>
    </xf>
    <xf numFmtId="0" fontId="36" fillId="0" borderId="0" xfId="0" applyFont="1" applyBorder="1" applyAlignment="1">
      <alignment horizontal="left"/>
    </xf>
    <xf numFmtId="0" fontId="36" fillId="0" borderId="9" xfId="0" applyFont="1" applyBorder="1" applyAlignment="1">
      <alignment horizontal="left"/>
    </xf>
    <xf numFmtId="0" fontId="36" fillId="0" borderId="10" xfId="0" applyFont="1" applyBorder="1" applyAlignment="1">
      <alignment horizontal="left"/>
    </xf>
    <xf numFmtId="0" fontId="36" fillId="0" borderId="11" xfId="0" applyFont="1" applyBorder="1" applyAlignment="1">
      <alignment horizontal="left"/>
    </xf>
    <xf numFmtId="0" fontId="36" fillId="0" borderId="12" xfId="0" applyFont="1" applyBorder="1" applyAlignment="1">
      <alignment horizontal="left"/>
    </xf>
    <xf numFmtId="0" fontId="44" fillId="3" borderId="13" xfId="0" applyFont="1" applyFill="1" applyBorder="1" applyAlignment="1">
      <alignment horizontal="left" indent="1"/>
    </xf>
    <xf numFmtId="0" fontId="44" fillId="3" borderId="14" xfId="0" applyFont="1" applyFill="1" applyBorder="1" applyAlignment="1">
      <alignment horizontal="left" indent="1"/>
    </xf>
    <xf numFmtId="0" fontId="44" fillId="3" borderId="6" xfId="0" applyFont="1" applyFill="1" applyBorder="1" applyAlignment="1">
      <alignment horizontal="left" indent="1"/>
    </xf>
    <xf numFmtId="0" fontId="44" fillId="3" borderId="7" xfId="0" applyFont="1" applyFill="1" applyBorder="1" applyAlignment="1">
      <alignment horizontal="left" indent="1"/>
    </xf>
    <xf numFmtId="0" fontId="41" fillId="3" borderId="5" xfId="0" applyFont="1" applyFill="1" applyBorder="1" applyAlignment="1">
      <alignment horizontal="left" indent="1"/>
    </xf>
    <xf numFmtId="0" fontId="41" fillId="3" borderId="6" xfId="0" applyFont="1" applyFill="1" applyBorder="1" applyAlignment="1">
      <alignment horizontal="left" indent="1"/>
    </xf>
    <xf numFmtId="0" fontId="41" fillId="3" borderId="7" xfId="0" applyFont="1" applyFill="1" applyBorder="1" applyAlignment="1">
      <alignment horizontal="left" indent="1"/>
    </xf>
    <xf numFmtId="168" fontId="34" fillId="3" borderId="13" xfId="0" applyNumberFormat="1" applyFont="1" applyFill="1" applyBorder="1" applyAlignment="1">
      <alignment horizontal="center"/>
    </xf>
    <xf numFmtId="168" fontId="34" fillId="3" borderId="14" xfId="0" applyNumberFormat="1" applyFont="1" applyFill="1" applyBorder="1" applyAlignment="1">
      <alignment horizontal="center"/>
    </xf>
    <xf numFmtId="170" fontId="34" fillId="3" borderId="13" xfId="0" applyNumberFormat="1" applyFont="1" applyFill="1" applyBorder="1" applyAlignment="1">
      <alignment horizontal="center" vertical="center"/>
    </xf>
    <xf numFmtId="170" fontId="34" fillId="3" borderId="14" xfId="0" applyNumberFormat="1" applyFont="1" applyFill="1" applyBorder="1" applyAlignment="1">
      <alignment horizontal="center" vertical="center"/>
    </xf>
    <xf numFmtId="170" fontId="34" fillId="3" borderId="15" xfId="0" applyNumberFormat="1" applyFont="1" applyFill="1" applyBorder="1" applyAlignment="1">
      <alignment horizontal="center" vertical="center"/>
    </xf>
    <xf numFmtId="170" fontId="32" fillId="3" borderId="5" xfId="0" applyNumberFormat="1" applyFont="1" applyFill="1" applyBorder="1" applyAlignment="1">
      <alignment horizontal="center" vertical="top"/>
    </xf>
    <xf numFmtId="170" fontId="32" fillId="3" borderId="6" xfId="0" applyNumberFormat="1" applyFont="1" applyFill="1" applyBorder="1" applyAlignment="1">
      <alignment horizontal="center" vertical="top"/>
    </xf>
    <xf numFmtId="170" fontId="35" fillId="3" borderId="6" xfId="0" applyNumberFormat="1" applyFont="1" applyFill="1" applyBorder="1" applyAlignment="1">
      <alignment horizontal="center" vertical="top"/>
    </xf>
    <xf numFmtId="169" fontId="41" fillId="3" borderId="13" xfId="0" applyNumberFormat="1" applyFont="1" applyFill="1" applyBorder="1" applyAlignment="1">
      <alignment horizontal="center"/>
    </xf>
    <xf numFmtId="169" fontId="41" fillId="3" borderId="14" xfId="0" applyNumberFormat="1" applyFont="1" applyFill="1" applyBorder="1" applyAlignment="1">
      <alignment horizontal="center"/>
    </xf>
    <xf numFmtId="169" fontId="41" fillId="3" borderId="15" xfId="0" applyNumberFormat="1" applyFont="1" applyFill="1" applyBorder="1" applyAlignment="1">
      <alignment horizontal="center"/>
    </xf>
    <xf numFmtId="165" fontId="41" fillId="3" borderId="13" xfId="0" applyNumberFormat="1" applyFont="1" applyFill="1" applyBorder="1" applyAlignment="1">
      <alignment horizontal="center"/>
    </xf>
    <xf numFmtId="165" fontId="41" fillId="3" borderId="14" xfId="0" applyNumberFormat="1" applyFont="1" applyFill="1" applyBorder="1" applyAlignment="1">
      <alignment horizontal="center"/>
    </xf>
    <xf numFmtId="165" fontId="41" fillId="3" borderId="15" xfId="0" applyNumberFormat="1" applyFont="1" applyFill="1" applyBorder="1" applyAlignment="1">
      <alignment horizontal="center"/>
    </xf>
    <xf numFmtId="0" fontId="41" fillId="3" borderId="5" xfId="0" applyFont="1" applyFill="1" applyBorder="1" applyAlignment="1">
      <alignment horizontal="left" wrapText="1" indent="1"/>
    </xf>
    <xf numFmtId="0" fontId="41" fillId="3" borderId="6" xfId="0" applyFont="1" applyFill="1" applyBorder="1" applyAlignment="1">
      <alignment horizontal="left" wrapText="1" indent="1"/>
    </xf>
    <xf numFmtId="0" fontId="41" fillId="3" borderId="7" xfId="0" applyFont="1" applyFill="1" applyBorder="1" applyAlignment="1">
      <alignment horizontal="left" wrapText="1" indent="1"/>
    </xf>
    <xf numFmtId="0" fontId="41" fillId="3" borderId="10" xfId="0" applyFont="1" applyFill="1" applyBorder="1" applyAlignment="1">
      <alignment horizontal="left" wrapText="1" indent="1"/>
    </xf>
    <xf numFmtId="0" fontId="41" fillId="3" borderId="11" xfId="0" applyFont="1" applyFill="1" applyBorder="1" applyAlignment="1">
      <alignment horizontal="left" wrapText="1" indent="1"/>
    </xf>
    <xf numFmtId="0" fontId="41" fillId="3" borderId="12" xfId="0" applyFont="1" applyFill="1" applyBorder="1" applyAlignment="1">
      <alignment horizontal="left" wrapText="1" indent="1"/>
    </xf>
    <xf numFmtId="171" fontId="34" fillId="3" borderId="13" xfId="0" applyNumberFormat="1" applyFont="1" applyFill="1" applyBorder="1" applyAlignment="1">
      <alignment horizontal="center" vertical="center"/>
    </xf>
    <xf numFmtId="171" fontId="34" fillId="3" borderId="14" xfId="0" applyNumberFormat="1" applyFont="1" applyFill="1" applyBorder="1" applyAlignment="1">
      <alignment horizontal="center" vertical="center"/>
    </xf>
    <xf numFmtId="171" fontId="34" fillId="3" borderId="15" xfId="0" applyNumberFormat="1" applyFont="1" applyFill="1" applyBorder="1" applyAlignment="1">
      <alignment horizontal="center" vertical="center"/>
    </xf>
    <xf numFmtId="0" fontId="43" fillId="3" borderId="13" xfId="0" applyFont="1" applyFill="1" applyBorder="1" applyAlignment="1">
      <alignment horizontal="right"/>
    </xf>
    <xf numFmtId="0" fontId="43" fillId="3" borderId="14" xfId="0" applyFont="1" applyFill="1" applyBorder="1" applyAlignment="1">
      <alignment horizontal="right"/>
    </xf>
    <xf numFmtId="0" fontId="43" fillId="3" borderId="15" xfId="0" applyFont="1" applyFill="1" applyBorder="1" applyAlignment="1">
      <alignment horizontal="right"/>
    </xf>
    <xf numFmtId="170" fontId="34" fillId="3" borderId="13" xfId="0" applyNumberFormat="1" applyFont="1" applyFill="1" applyBorder="1" applyAlignment="1">
      <alignment horizontal="left" vertical="center"/>
    </xf>
    <xf numFmtId="170" fontId="34" fillId="3" borderId="14" xfId="0" applyNumberFormat="1" applyFont="1" applyFill="1" applyBorder="1" applyAlignment="1">
      <alignment horizontal="left" vertical="center"/>
    </xf>
    <xf numFmtId="170" fontId="34" fillId="3" borderId="15" xfId="0" applyNumberFormat="1" applyFont="1" applyFill="1" applyBorder="1" applyAlignment="1">
      <alignment horizontal="left" vertical="center"/>
    </xf>
    <xf numFmtId="0" fontId="0" fillId="3" borderId="0" xfId="0" applyFill="1" applyAlignment="1">
      <alignment horizontal="center"/>
    </xf>
    <xf numFmtId="14" fontId="0" fillId="3" borderId="0" xfId="0" applyNumberFormat="1" applyFill="1" applyAlignment="1">
      <alignment horizontal="center"/>
    </xf>
    <xf numFmtId="0" fontId="35" fillId="3" borderId="10" xfId="0" applyFont="1" applyFill="1" applyBorder="1" applyAlignment="1">
      <alignment horizontal="center" vertical="center" wrapText="1"/>
    </xf>
    <xf numFmtId="0" fontId="35" fillId="3" borderId="11" xfId="0" applyFont="1" applyFill="1" applyBorder="1" applyAlignment="1">
      <alignment horizontal="center" vertical="center" wrapText="1"/>
    </xf>
    <xf numFmtId="0" fontId="35" fillId="3" borderId="12" xfId="0" applyFont="1" applyFill="1" applyBorder="1" applyAlignment="1">
      <alignment horizontal="center" vertical="center" wrapText="1"/>
    </xf>
    <xf numFmtId="0" fontId="36" fillId="3" borderId="5" xfId="0" applyFont="1" applyFill="1" applyBorder="1" applyAlignment="1">
      <alignment horizontal="left" vertical="center" wrapText="1" indent="1"/>
    </xf>
    <xf numFmtId="0" fontId="36" fillId="3" borderId="6" xfId="0" applyFont="1" applyFill="1" applyBorder="1" applyAlignment="1">
      <alignment horizontal="left" vertical="center" wrapText="1" indent="1"/>
    </xf>
    <xf numFmtId="0" fontId="36" fillId="3" borderId="7" xfId="0" applyFont="1" applyFill="1" applyBorder="1" applyAlignment="1">
      <alignment horizontal="left" vertical="center" wrapText="1" indent="1"/>
    </xf>
    <xf numFmtId="0" fontId="36" fillId="3" borderId="8" xfId="0" applyFont="1" applyFill="1" applyBorder="1" applyAlignment="1">
      <alignment horizontal="left" vertical="center" wrapText="1" indent="1"/>
    </xf>
    <xf numFmtId="0" fontId="36" fillId="3" borderId="0" xfId="0" applyFont="1" applyFill="1" applyBorder="1" applyAlignment="1">
      <alignment horizontal="left" vertical="center" wrapText="1" indent="1"/>
    </xf>
    <xf numFmtId="0" fontId="36" fillId="3" borderId="9" xfId="0" applyFont="1" applyFill="1" applyBorder="1" applyAlignment="1">
      <alignment horizontal="left" vertical="center" wrapText="1" indent="1"/>
    </xf>
    <xf numFmtId="0" fontId="36" fillId="3" borderId="10" xfId="0" applyFont="1" applyFill="1" applyBorder="1" applyAlignment="1">
      <alignment horizontal="left" vertical="center" wrapText="1" indent="1"/>
    </xf>
    <xf numFmtId="0" fontId="36" fillId="3" borderId="11" xfId="0" applyFont="1" applyFill="1" applyBorder="1" applyAlignment="1">
      <alignment horizontal="left" vertical="center" wrapText="1" indent="1"/>
    </xf>
    <xf numFmtId="0" fontId="36" fillId="3" borderId="12" xfId="0" applyFont="1" applyFill="1" applyBorder="1" applyAlignment="1">
      <alignment horizontal="left" vertical="center" wrapText="1" indent="1"/>
    </xf>
    <xf numFmtId="0" fontId="44" fillId="3" borderId="13" xfId="0" applyFont="1" applyFill="1" applyBorder="1" applyAlignment="1">
      <alignment horizontal="center" wrapText="1"/>
    </xf>
    <xf numFmtId="0" fontId="44" fillId="3" borderId="14" xfId="0" applyFont="1" applyFill="1" applyBorder="1" applyAlignment="1">
      <alignment horizontal="center" wrapText="1"/>
    </xf>
    <xf numFmtId="0" fontId="44" fillId="3" borderId="15" xfId="0" applyFont="1" applyFill="1" applyBorder="1" applyAlignment="1">
      <alignment horizontal="center" wrapText="1"/>
    </xf>
    <xf numFmtId="0" fontId="36" fillId="3" borderId="6" xfId="0" applyFont="1" applyFill="1" applyBorder="1" applyAlignment="1" applyProtection="1">
      <alignment horizontal="left" vertical="center" wrapText="1"/>
    </xf>
    <xf numFmtId="0" fontId="36" fillId="3" borderId="7" xfId="0" applyFont="1" applyFill="1" applyBorder="1" applyAlignment="1" applyProtection="1">
      <alignment horizontal="left" vertical="center" wrapText="1"/>
    </xf>
    <xf numFmtId="0" fontId="36" fillId="3" borderId="11" xfId="0" applyFont="1" applyFill="1" applyBorder="1" applyAlignment="1" applyProtection="1">
      <alignment horizontal="left" vertical="center" wrapText="1"/>
    </xf>
    <xf numFmtId="0" fontId="36" fillId="3" borderId="12" xfId="0" applyFont="1" applyFill="1" applyBorder="1" applyAlignment="1" applyProtection="1">
      <alignment horizontal="left" vertical="center" wrapText="1"/>
    </xf>
    <xf numFmtId="0" fontId="49" fillId="3" borderId="13" xfId="2" applyFont="1" applyFill="1" applyBorder="1" applyAlignment="1">
      <alignment horizontal="center" vertical="center"/>
    </xf>
    <xf numFmtId="0" fontId="49" fillId="3" borderId="14" xfId="2" applyFont="1" applyFill="1" applyBorder="1" applyAlignment="1">
      <alignment horizontal="center" vertical="center"/>
    </xf>
    <xf numFmtId="0" fontId="49" fillId="3" borderId="15" xfId="2" applyFont="1" applyFill="1" applyBorder="1" applyAlignment="1">
      <alignment horizontal="center" vertical="center"/>
    </xf>
    <xf numFmtId="0" fontId="32" fillId="3" borderId="0" xfId="0" applyFont="1" applyFill="1" applyAlignment="1">
      <alignment horizontal="center"/>
    </xf>
    <xf numFmtId="14" fontId="44" fillId="3" borderId="13" xfId="0" applyNumberFormat="1" applyFont="1" applyFill="1" applyBorder="1" applyAlignment="1" applyProtection="1">
      <alignment horizontal="center"/>
    </xf>
    <xf numFmtId="14" fontId="44" fillId="3" borderId="14" xfId="0" applyNumberFormat="1" applyFont="1" applyFill="1" applyBorder="1" applyAlignment="1" applyProtection="1">
      <alignment horizontal="center"/>
    </xf>
    <xf numFmtId="14" fontId="44" fillId="3" borderId="15" xfId="0" applyNumberFormat="1" applyFont="1" applyFill="1" applyBorder="1" applyAlignment="1" applyProtection="1">
      <alignment horizontal="center"/>
    </xf>
    <xf numFmtId="169" fontId="36" fillId="3" borderId="13" xfId="0" applyNumberFormat="1" applyFont="1" applyFill="1" applyBorder="1" applyAlignment="1">
      <alignment horizontal="center"/>
    </xf>
    <xf numFmtId="169" fontId="36" fillId="3" borderId="14" xfId="0" applyNumberFormat="1" applyFont="1" applyFill="1" applyBorder="1" applyAlignment="1">
      <alignment horizontal="center"/>
    </xf>
    <xf numFmtId="169" fontId="36" fillId="3" borderId="15" xfId="0" applyNumberFormat="1" applyFont="1" applyFill="1" applyBorder="1" applyAlignment="1">
      <alignment horizontal="center"/>
    </xf>
    <xf numFmtId="165" fontId="41" fillId="3" borderId="5" xfId="0" applyNumberFormat="1" applyFont="1" applyFill="1" applyBorder="1" applyAlignment="1">
      <alignment horizontal="center" wrapText="1"/>
    </xf>
    <xf numFmtId="165" fontId="41" fillId="3" borderId="6" xfId="0" applyNumberFormat="1" applyFont="1" applyFill="1" applyBorder="1" applyAlignment="1">
      <alignment horizontal="center" wrapText="1"/>
    </xf>
    <xf numFmtId="165" fontId="41" fillId="3" borderId="7" xfId="0" applyNumberFormat="1" applyFont="1" applyFill="1" applyBorder="1" applyAlignment="1">
      <alignment horizontal="center" wrapText="1"/>
    </xf>
    <xf numFmtId="165" fontId="41" fillId="3" borderId="10" xfId="0" applyNumberFormat="1" applyFont="1" applyFill="1" applyBorder="1" applyAlignment="1">
      <alignment horizontal="center" wrapText="1"/>
    </xf>
    <xf numFmtId="165" fontId="41" fillId="3" borderId="11" xfId="0" applyNumberFormat="1" applyFont="1" applyFill="1" applyBorder="1" applyAlignment="1">
      <alignment horizontal="center" wrapText="1"/>
    </xf>
    <xf numFmtId="165" fontId="41" fillId="3" borderId="12" xfId="0" applyNumberFormat="1" applyFont="1" applyFill="1" applyBorder="1" applyAlignment="1">
      <alignment horizontal="center" wrapText="1"/>
    </xf>
    <xf numFmtId="0" fontId="36" fillId="3" borderId="5" xfId="0" applyFont="1" applyFill="1" applyBorder="1" applyAlignment="1">
      <alignment horizontal="left" wrapText="1" indent="1"/>
    </xf>
    <xf numFmtId="0" fontId="36" fillId="3" borderId="6" xfId="0" applyFont="1" applyFill="1" applyBorder="1" applyAlignment="1">
      <alignment horizontal="left" wrapText="1" indent="1"/>
    </xf>
    <xf numFmtId="0" fontId="36" fillId="3" borderId="7" xfId="0" applyFont="1" applyFill="1" applyBorder="1" applyAlignment="1">
      <alignment horizontal="left" wrapText="1" indent="1"/>
    </xf>
    <xf numFmtId="0" fontId="36" fillId="3" borderId="10" xfId="0" applyFont="1" applyFill="1" applyBorder="1" applyAlignment="1">
      <alignment horizontal="left" wrapText="1" indent="1"/>
    </xf>
    <xf numFmtId="0" fontId="36" fillId="3" borderId="11" xfId="0" applyFont="1" applyFill="1" applyBorder="1" applyAlignment="1">
      <alignment horizontal="left" wrapText="1" indent="1"/>
    </xf>
    <xf numFmtId="0" fontId="36" fillId="3" borderId="12" xfId="0" applyFont="1" applyFill="1" applyBorder="1" applyAlignment="1">
      <alignment horizontal="left" wrapText="1" indent="1"/>
    </xf>
    <xf numFmtId="0" fontId="36" fillId="3" borderId="13" xfId="0" applyFont="1" applyFill="1" applyBorder="1" applyAlignment="1">
      <alignment horizontal="left" indent="1"/>
    </xf>
    <xf numFmtId="0" fontId="36" fillId="3" borderId="14" xfId="0" applyFont="1" applyFill="1" applyBorder="1" applyAlignment="1">
      <alignment horizontal="left" indent="1"/>
    </xf>
    <xf numFmtId="0" fontId="36" fillId="3" borderId="15" xfId="0" applyFont="1" applyFill="1" applyBorder="1" applyAlignment="1">
      <alignment horizontal="left" indent="1"/>
    </xf>
    <xf numFmtId="169" fontId="41" fillId="3" borderId="5" xfId="0" applyNumberFormat="1" applyFont="1" applyFill="1" applyBorder="1" applyAlignment="1">
      <alignment horizontal="center"/>
    </xf>
    <xf numFmtId="169" fontId="41" fillId="3" borderId="6" xfId="0" applyNumberFormat="1" applyFont="1" applyFill="1" applyBorder="1" applyAlignment="1">
      <alignment horizontal="center"/>
    </xf>
    <xf numFmtId="169" fontId="41" fillId="3" borderId="7" xfId="0" applyNumberFormat="1" applyFont="1" applyFill="1" applyBorder="1" applyAlignment="1">
      <alignment horizontal="center"/>
    </xf>
    <xf numFmtId="169" fontId="41" fillId="3" borderId="10" xfId="0" applyNumberFormat="1" applyFont="1" applyFill="1" applyBorder="1" applyAlignment="1">
      <alignment horizontal="center"/>
    </xf>
    <xf numFmtId="169" fontId="41" fillId="3" borderId="11" xfId="0" applyNumberFormat="1" applyFont="1" applyFill="1" applyBorder="1" applyAlignment="1">
      <alignment horizontal="center"/>
    </xf>
    <xf numFmtId="169" fontId="41" fillId="3" borderId="12" xfId="0" applyNumberFormat="1" applyFont="1" applyFill="1" applyBorder="1" applyAlignment="1">
      <alignment horizontal="center"/>
    </xf>
    <xf numFmtId="168" fontId="34" fillId="3" borderId="13" xfId="0" applyNumberFormat="1" applyFont="1" applyFill="1" applyBorder="1" applyAlignment="1">
      <alignment horizontal="left" vertical="center"/>
    </xf>
    <xf numFmtId="168" fontId="34" fillId="3" borderId="14" xfId="0" applyNumberFormat="1" applyFont="1" applyFill="1" applyBorder="1" applyAlignment="1">
      <alignment horizontal="left" vertical="center"/>
    </xf>
    <xf numFmtId="0" fontId="36" fillId="3" borderId="13" xfId="0" applyFont="1" applyFill="1" applyBorder="1" applyAlignment="1">
      <alignment horizontal="center"/>
    </xf>
    <xf numFmtId="0" fontId="36" fillId="3" borderId="14" xfId="0" applyFont="1" applyFill="1" applyBorder="1" applyAlignment="1">
      <alignment horizontal="center"/>
    </xf>
    <xf numFmtId="0" fontId="36" fillId="3" borderId="15" xfId="0" applyFont="1" applyFill="1" applyBorder="1" applyAlignment="1">
      <alignment horizontal="center"/>
    </xf>
    <xf numFmtId="14" fontId="36" fillId="3" borderId="13" xfId="0" applyNumberFormat="1" applyFont="1" applyFill="1" applyBorder="1" applyAlignment="1">
      <alignment horizontal="center"/>
    </xf>
    <xf numFmtId="14" fontId="36" fillId="3" borderId="14" xfId="0" applyNumberFormat="1" applyFont="1" applyFill="1" applyBorder="1" applyAlignment="1">
      <alignment horizontal="center"/>
    </xf>
    <xf numFmtId="14" fontId="36" fillId="3" borderId="15" xfId="0" applyNumberFormat="1" applyFont="1" applyFill="1" applyBorder="1" applyAlignment="1">
      <alignment horizontal="center"/>
    </xf>
    <xf numFmtId="0" fontId="36" fillId="3" borderId="8" xfId="0" applyFont="1" applyFill="1" applyBorder="1" applyAlignment="1">
      <alignment horizontal="left" wrapText="1" indent="1"/>
    </xf>
    <xf numFmtId="0" fontId="36" fillId="3" borderId="0" xfId="0" applyFont="1" applyFill="1" applyBorder="1" applyAlignment="1">
      <alignment horizontal="left" wrapText="1" indent="1"/>
    </xf>
    <xf numFmtId="0" fontId="36" fillId="3" borderId="9" xfId="0" applyFont="1" applyFill="1" applyBorder="1" applyAlignment="1">
      <alignment horizontal="left" wrapText="1" indent="1"/>
    </xf>
    <xf numFmtId="0" fontId="36" fillId="3" borderId="17" xfId="0" applyFont="1" applyFill="1" applyBorder="1" applyAlignment="1">
      <alignment horizontal="center"/>
    </xf>
    <xf numFmtId="0" fontId="44" fillId="3" borderId="15" xfId="0" applyFont="1" applyFill="1" applyBorder="1" applyAlignment="1">
      <alignment horizontal="left" indent="1"/>
    </xf>
    <xf numFmtId="14" fontId="35" fillId="3" borderId="13" xfId="0" applyNumberFormat="1" applyFont="1" applyFill="1" applyBorder="1" applyAlignment="1">
      <alignment horizontal="center"/>
    </xf>
    <xf numFmtId="0" fontId="35" fillId="3" borderId="14" xfId="0" applyFont="1" applyFill="1" applyBorder="1" applyAlignment="1">
      <alignment horizontal="center"/>
    </xf>
    <xf numFmtId="0" fontId="35" fillId="3" borderId="15" xfId="0" applyFont="1" applyFill="1" applyBorder="1" applyAlignment="1">
      <alignment horizontal="center"/>
    </xf>
    <xf numFmtId="0" fontId="41" fillId="3" borderId="13" xfId="0" applyFont="1" applyFill="1" applyBorder="1" applyAlignment="1">
      <alignment horizontal="center"/>
    </xf>
    <xf numFmtId="0" fontId="41" fillId="3" borderId="15" xfId="0" applyFont="1" applyFill="1" applyBorder="1" applyAlignment="1">
      <alignment horizontal="center"/>
    </xf>
    <xf numFmtId="0" fontId="44" fillId="3" borderId="13" xfId="0" applyFont="1" applyFill="1" applyBorder="1" applyAlignment="1">
      <alignment horizontal="center" vertical="center"/>
    </xf>
    <xf numFmtId="0" fontId="44" fillId="3" borderId="14" xfId="0" applyFont="1" applyFill="1" applyBorder="1" applyAlignment="1">
      <alignment horizontal="center" vertical="center"/>
    </xf>
    <xf numFmtId="0" fontId="44" fillId="3" borderId="15" xfId="0" applyFont="1" applyFill="1" applyBorder="1" applyAlignment="1">
      <alignment horizontal="center" vertical="center"/>
    </xf>
    <xf numFmtId="0" fontId="44" fillId="3" borderId="13" xfId="0" applyFont="1" applyFill="1" applyBorder="1" applyAlignment="1" applyProtection="1">
      <alignment horizontal="center"/>
    </xf>
    <xf numFmtId="0" fontId="44" fillId="3" borderId="14" xfId="0" applyFont="1" applyFill="1" applyBorder="1" applyAlignment="1" applyProtection="1">
      <alignment horizontal="center"/>
    </xf>
    <xf numFmtId="0" fontId="44" fillId="3" borderId="15" xfId="0" applyFont="1" applyFill="1" applyBorder="1" applyAlignment="1" applyProtection="1">
      <alignment horizontal="center"/>
    </xf>
    <xf numFmtId="0" fontId="36" fillId="3" borderId="5" xfId="0" applyFont="1" applyFill="1" applyBorder="1" applyAlignment="1">
      <alignment horizontal="left" indent="1"/>
    </xf>
    <xf numFmtId="0" fontId="36" fillId="3" borderId="6" xfId="0" applyFont="1" applyFill="1" applyBorder="1" applyAlignment="1">
      <alignment horizontal="left" indent="1"/>
    </xf>
    <xf numFmtId="0" fontId="36" fillId="3" borderId="7" xfId="0" applyFont="1" applyFill="1" applyBorder="1" applyAlignment="1">
      <alignment horizontal="left" indent="1"/>
    </xf>
    <xf numFmtId="49" fontId="44" fillId="3" borderId="13" xfId="0" applyNumberFormat="1" applyFont="1" applyFill="1" applyBorder="1" applyAlignment="1">
      <alignment horizontal="center"/>
    </xf>
    <xf numFmtId="49" fontId="44" fillId="3" borderId="14" xfId="0" applyNumberFormat="1" applyFont="1" applyFill="1" applyBorder="1" applyAlignment="1">
      <alignment horizontal="center"/>
    </xf>
    <xf numFmtId="49" fontId="44" fillId="3" borderId="15" xfId="0" applyNumberFormat="1" applyFont="1" applyFill="1" applyBorder="1" applyAlignment="1">
      <alignment horizontal="center"/>
    </xf>
    <xf numFmtId="0" fontId="39" fillId="3" borderId="6" xfId="0" applyFont="1" applyFill="1" applyBorder="1" applyAlignment="1">
      <alignment horizontal="center" vertical="top" wrapText="1"/>
    </xf>
    <xf numFmtId="0" fontId="39" fillId="3" borderId="7" xfId="0" applyFont="1" applyFill="1" applyBorder="1" applyAlignment="1">
      <alignment horizontal="center" vertical="top" wrapText="1"/>
    </xf>
    <xf numFmtId="0" fontId="39" fillId="3" borderId="0" xfId="0" applyFont="1" applyFill="1" applyBorder="1" applyAlignment="1">
      <alignment horizontal="center" vertical="top" wrapText="1"/>
    </xf>
    <xf numFmtId="0" fontId="39" fillId="3" borderId="9" xfId="0" applyFont="1" applyFill="1" applyBorder="1" applyAlignment="1">
      <alignment horizontal="center" vertical="top" wrapText="1"/>
    </xf>
    <xf numFmtId="0" fontId="41" fillId="3" borderId="13" xfId="0" applyFont="1" applyFill="1" applyBorder="1" applyAlignment="1">
      <alignment horizontal="center" vertical="center"/>
    </xf>
    <xf numFmtId="0" fontId="41" fillId="3" borderId="14" xfId="0" applyFont="1" applyFill="1" applyBorder="1" applyAlignment="1">
      <alignment horizontal="center" vertical="center"/>
    </xf>
    <xf numFmtId="0" fontId="41" fillId="3" borderId="15" xfId="0" applyFont="1" applyFill="1" applyBorder="1" applyAlignment="1">
      <alignment horizontal="center" vertical="center"/>
    </xf>
    <xf numFmtId="0" fontId="36" fillId="0" borderId="5" xfId="0" applyFont="1" applyBorder="1" applyAlignment="1">
      <alignment horizontal="left" vertical="center" wrapText="1"/>
    </xf>
    <xf numFmtId="0" fontId="36" fillId="0" borderId="6" xfId="0" applyFont="1" applyBorder="1" applyAlignment="1">
      <alignment horizontal="left" vertical="center" wrapText="1"/>
    </xf>
    <xf numFmtId="0" fontId="36" fillId="0" borderId="7" xfId="0" applyFont="1" applyBorder="1" applyAlignment="1">
      <alignment horizontal="left" vertical="center" wrapText="1"/>
    </xf>
    <xf numFmtId="0" fontId="36" fillId="0" borderId="8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5" xfId="0" quotePrefix="1" applyFont="1" applyBorder="1" applyAlignment="1">
      <alignment horizontal="left" vertical="top" wrapText="1"/>
    </xf>
    <xf numFmtId="0" fontId="36" fillId="0" borderId="6" xfId="0" applyFont="1" applyBorder="1" applyAlignment="1">
      <alignment horizontal="left" vertical="top" wrapText="1"/>
    </xf>
    <xf numFmtId="0" fontId="36" fillId="0" borderId="7" xfId="0" applyFont="1" applyBorder="1" applyAlignment="1">
      <alignment horizontal="left" vertical="top" wrapText="1"/>
    </xf>
    <xf numFmtId="0" fontId="36" fillId="0" borderId="8" xfId="0" applyFont="1" applyBorder="1" applyAlignment="1">
      <alignment horizontal="left" vertical="top" wrapText="1"/>
    </xf>
    <xf numFmtId="0" fontId="36" fillId="0" borderId="0" xfId="0" applyFont="1" applyBorder="1" applyAlignment="1">
      <alignment horizontal="left" vertical="top" wrapText="1"/>
    </xf>
    <xf numFmtId="0" fontId="36" fillId="0" borderId="9" xfId="0" applyFont="1" applyBorder="1" applyAlignment="1">
      <alignment horizontal="left" vertical="top" wrapText="1"/>
    </xf>
    <xf numFmtId="0" fontId="36" fillId="0" borderId="10" xfId="0" applyFont="1" applyBorder="1" applyAlignment="1">
      <alignment horizontal="left" vertical="top" wrapText="1"/>
    </xf>
    <xf numFmtId="0" fontId="36" fillId="0" borderId="11" xfId="0" applyFont="1" applyBorder="1" applyAlignment="1">
      <alignment horizontal="left" vertical="top" wrapText="1"/>
    </xf>
    <xf numFmtId="0" fontId="36" fillId="0" borderId="12" xfId="0" applyFont="1" applyBorder="1" applyAlignment="1">
      <alignment horizontal="left" vertical="top" wrapText="1"/>
    </xf>
    <xf numFmtId="0" fontId="36" fillId="3" borderId="5" xfId="0" applyFont="1" applyFill="1" applyBorder="1" applyAlignment="1">
      <alignment horizontal="center" vertical="center"/>
    </xf>
    <xf numFmtId="0" fontId="36" fillId="3" borderId="6" xfId="0" applyFont="1" applyFill="1" applyBorder="1" applyAlignment="1">
      <alignment horizontal="center" vertical="center"/>
    </xf>
    <xf numFmtId="0" fontId="36" fillId="3" borderId="7" xfId="0" applyFont="1" applyFill="1" applyBorder="1" applyAlignment="1">
      <alignment horizontal="center" vertical="center"/>
    </xf>
    <xf numFmtId="0" fontId="36" fillId="3" borderId="8" xfId="0" applyFont="1" applyFill="1" applyBorder="1" applyAlignment="1">
      <alignment horizontal="center" vertical="center"/>
    </xf>
    <xf numFmtId="0" fontId="36" fillId="3" borderId="0" xfId="0" applyFont="1" applyFill="1" applyBorder="1" applyAlignment="1">
      <alignment horizontal="center" vertical="center"/>
    </xf>
    <xf numFmtId="0" fontId="36" fillId="3" borderId="9" xfId="0" applyFont="1" applyFill="1" applyBorder="1" applyAlignment="1">
      <alignment horizontal="center" vertical="center"/>
    </xf>
    <xf numFmtId="0" fontId="36" fillId="3" borderId="10" xfId="0" applyFont="1" applyFill="1" applyBorder="1" applyAlignment="1">
      <alignment horizontal="center" vertical="center"/>
    </xf>
    <xf numFmtId="0" fontId="36" fillId="3" borderId="11" xfId="0" applyFont="1" applyFill="1" applyBorder="1" applyAlignment="1">
      <alignment horizontal="center" vertical="center"/>
    </xf>
    <xf numFmtId="0" fontId="36" fillId="3" borderId="12" xfId="0" applyFont="1" applyFill="1" applyBorder="1" applyAlignment="1">
      <alignment horizontal="center" vertical="center"/>
    </xf>
    <xf numFmtId="0" fontId="36" fillId="0" borderId="5" xfId="0" applyFont="1" applyBorder="1" applyAlignment="1">
      <alignment horizontal="left" vertical="top" wrapText="1"/>
    </xf>
    <xf numFmtId="0" fontId="51" fillId="3" borderId="13" xfId="0" applyFont="1" applyFill="1" applyBorder="1" applyAlignment="1">
      <alignment horizontal="center"/>
    </xf>
    <xf numFmtId="0" fontId="51" fillId="3" borderId="14" xfId="0" applyFon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14" fontId="0" fillId="3" borderId="13" xfId="0" applyNumberFormat="1" applyFill="1" applyBorder="1" applyAlignment="1">
      <alignment horizontal="center"/>
    </xf>
    <xf numFmtId="14" fontId="0" fillId="3" borderId="14" xfId="0" applyNumberFormat="1" applyFill="1" applyBorder="1" applyAlignment="1">
      <alignment horizontal="center"/>
    </xf>
    <xf numFmtId="14" fontId="0" fillId="3" borderId="15" xfId="0" applyNumberFormat="1" applyFill="1" applyBorder="1" applyAlignment="1">
      <alignment horizontal="center"/>
    </xf>
  </cellXfs>
  <cellStyles count="3">
    <cellStyle name="Гиперссылка" xfId="2" builtinId="8"/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$G$38"/>
</file>

<file path=xl/ctrlProps/ctrlProp2.xml><?xml version="1.0" encoding="utf-8"?>
<formControlPr xmlns="http://schemas.microsoft.com/office/spreadsheetml/2009/9/main" objectType="CheckBox" fmlaLink="$H$38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Radio" firstButton="1" fmlaLink="$B$24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CheckBox" fmlaLink="$H$54" lockText="1" noThreeD="1"/>
</file>

<file path=xl/ctrlProps/ctrlProp8.xml><?xml version="1.0" encoding="utf-8"?>
<formControlPr xmlns="http://schemas.microsoft.com/office/spreadsheetml/2009/9/main" objectType="CheckBox" fmlaLink="$I$54" lockText="1" noThreeD="1"/>
</file>

<file path=xl/ctrlProps/ctrlProp9.xml><?xml version="1.0" encoding="utf-8"?>
<formControlPr xmlns="http://schemas.microsoft.com/office/spreadsheetml/2009/9/main" objectType="CheckBox" fmlaLink="$J$54" lockText="1" noThreeD="1"/>
</file>

<file path=xl/ctrlProps/ctrlProp10.xml><?xml version="1.0" encoding="utf-8"?>
<formControlPr xmlns="http://schemas.microsoft.com/office/spreadsheetml/2009/9/main" objectType="CheckBox" fmlaLink="$K$54" lockText="1" noThreeD="1"/>
</file>

<file path=xl/ctrlProps/ctrlProp11.xml><?xml version="1.0" encoding="utf-8"?>
<formControlPr xmlns="http://schemas.microsoft.com/office/spreadsheetml/2009/9/main" objectType="CheckBox" fmlaLink="$L$54" lockText="1" noThreeD="1"/>
</file>

<file path=xl/ctrlProps/ctrlProp12.xml><?xml version="1.0" encoding="utf-8"?>
<formControlPr xmlns="http://schemas.microsoft.com/office/spreadsheetml/2009/9/main" objectType="CheckBox" fmlaLink="$R$54" lockText="1" noThreeD="1"/>
</file>

<file path=xl/ctrlProps/ctrlProp13.xml><?xml version="1.0" encoding="utf-8"?>
<formControlPr xmlns="http://schemas.microsoft.com/office/spreadsheetml/2009/9/main" objectType="CheckBox" fmlaLink="$M$54" lockText="1" noThreeD="1"/>
</file>

<file path=xl/ctrlProps/ctrlProp14.xml><?xml version="1.0" encoding="utf-8"?>
<formControlPr xmlns="http://schemas.microsoft.com/office/spreadsheetml/2009/9/main" objectType="CheckBox" fmlaLink="$N$54" lockText="1" noThreeD="1"/>
</file>

<file path=xl/ctrlProps/ctrlProp15.xml><?xml version="1.0" encoding="utf-8"?>
<formControlPr xmlns="http://schemas.microsoft.com/office/spreadsheetml/2009/9/main" objectType="CheckBox" fmlaLink="$O$54" lockText="1" noThreeD="1"/>
</file>

<file path=xl/ctrlProps/ctrlProp16.xml><?xml version="1.0" encoding="utf-8"?>
<formControlPr xmlns="http://schemas.microsoft.com/office/spreadsheetml/2009/9/main" objectType="CheckBox" fmlaLink="$U$54" lockText="1" noThreeD="1"/>
</file>

<file path=xl/ctrlProps/ctrlProp17.xml><?xml version="1.0" encoding="utf-8"?>
<formControlPr xmlns="http://schemas.microsoft.com/office/spreadsheetml/2009/9/main" objectType="CheckBox" fmlaLink="$X$54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fmlaLink="'Расчёт премии'!$H$54" lockText="1" noThreeD="1"/>
</file>

<file path=xl/ctrlProps/ctrlProp22.xml><?xml version="1.0" encoding="utf-8"?>
<formControlPr xmlns="http://schemas.microsoft.com/office/spreadsheetml/2009/9/main" objectType="CheckBox" fmlaLink="'Расчёт премии'!$M$54" lockText="1" noThreeD="1"/>
</file>

<file path=xl/ctrlProps/ctrlProp23.xml><?xml version="1.0" encoding="utf-8"?>
<formControlPr xmlns="http://schemas.microsoft.com/office/spreadsheetml/2009/9/main" objectType="CheckBox" fmlaLink="'Расчёт премии'!$U$54" lockText="1" noThreeD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7</xdr:row>
          <xdr:rowOff>19050</xdr:rowOff>
        </xdr:from>
        <xdr:to>
          <xdr:col>13</xdr:col>
          <xdr:colOff>123825</xdr:colOff>
          <xdr:row>8</xdr:row>
          <xdr:rowOff>104775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Квартира находится в огороженном жилом комплексе с пропускной системой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8</xdr:row>
          <xdr:rowOff>38100</xdr:rowOff>
        </xdr:from>
        <xdr:to>
          <xdr:col>13</xdr:col>
          <xdr:colOff>123825</xdr:colOff>
          <xdr:row>9</xdr:row>
          <xdr:rowOff>152400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Наличие системы кондиционирования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1</xdr:row>
          <xdr:rowOff>38100</xdr:rowOff>
        </xdr:from>
        <xdr:to>
          <xdr:col>14</xdr:col>
          <xdr:colOff>476250</xdr:colOff>
          <xdr:row>2</xdr:row>
          <xdr:rowOff>142875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Печать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438150</xdr:colOff>
          <xdr:row>1</xdr:row>
          <xdr:rowOff>38100</xdr:rowOff>
        </xdr:from>
        <xdr:to>
          <xdr:col>12</xdr:col>
          <xdr:colOff>485775</xdr:colOff>
          <xdr:row>2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21</xdr:row>
          <xdr:rowOff>123825</xdr:rowOff>
        </xdr:from>
        <xdr:to>
          <xdr:col>1</xdr:col>
          <xdr:colOff>19050</xdr:colOff>
          <xdr:row>23</xdr:row>
          <xdr:rowOff>66675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23</xdr:row>
          <xdr:rowOff>180975</xdr:rowOff>
        </xdr:from>
        <xdr:to>
          <xdr:col>1</xdr:col>
          <xdr:colOff>0</xdr:colOff>
          <xdr:row>25</xdr:row>
          <xdr:rowOff>171450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4</xdr:row>
          <xdr:rowOff>161925</xdr:rowOff>
        </xdr:from>
        <xdr:to>
          <xdr:col>7</xdr:col>
          <xdr:colOff>419100</xdr:colOff>
          <xdr:row>6</xdr:row>
          <xdr:rowOff>19050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Помещение сдаётся в аренду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5</xdr:row>
          <xdr:rowOff>133350</xdr:rowOff>
        </xdr:from>
        <xdr:to>
          <xdr:col>8</xdr:col>
          <xdr:colOff>0</xdr:colOff>
          <xdr:row>6</xdr:row>
          <xdr:rowOff>152400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Наличие автоматической сигнализации с выводом на пульт круглосуточного дежурного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6</xdr:row>
          <xdr:rowOff>85725</xdr:rowOff>
        </xdr:from>
        <xdr:to>
          <xdr:col>8</xdr:col>
          <xdr:colOff>276225</xdr:colOff>
          <xdr:row>7</xdr:row>
          <xdr:rowOff>114300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Наличие автоматической пожарной сигнализации с выводом на пульт МЧС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6</xdr:row>
          <xdr:rowOff>180975</xdr:rowOff>
        </xdr:from>
        <xdr:to>
          <xdr:col>13</xdr:col>
          <xdr:colOff>200025</xdr:colOff>
          <xdr:row>8</xdr:row>
          <xdr:rowOff>123825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Наличие в помещении оборудования предназначенного для раздведения и поддержания огня (камин, газовая колонка/плита, оборудование сауны)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7</xdr:row>
          <xdr:rowOff>180975</xdr:rowOff>
        </xdr:from>
        <xdr:to>
          <xdr:col>6</xdr:col>
          <xdr:colOff>457200</xdr:colOff>
          <xdr:row>9</xdr:row>
          <xdr:rowOff>19050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Помещение находится на последнем этаже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10</xdr:row>
          <xdr:rowOff>38100</xdr:rowOff>
        </xdr:from>
        <xdr:to>
          <xdr:col>5</xdr:col>
          <xdr:colOff>419100</xdr:colOff>
          <xdr:row>11</xdr:row>
          <xdr:rowOff>76200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Помещение находится в деревянном строении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8</xdr:row>
          <xdr:rowOff>104775</xdr:rowOff>
        </xdr:from>
        <xdr:to>
          <xdr:col>6</xdr:col>
          <xdr:colOff>38100</xdr:colOff>
          <xdr:row>9</xdr:row>
          <xdr:rowOff>190500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Помещение находится в строении с перекрытиями из дерева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9</xdr:row>
          <xdr:rowOff>66675</xdr:rowOff>
        </xdr:from>
        <xdr:to>
          <xdr:col>8</xdr:col>
          <xdr:colOff>304800</xdr:colOff>
          <xdr:row>10</xdr:row>
          <xdr:rowOff>133350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Помещение находится в охраняемом жилом комплексе с пропускной системой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10</xdr:row>
          <xdr:rowOff>161925</xdr:rowOff>
        </xdr:from>
        <xdr:to>
          <xdr:col>9</xdr:col>
          <xdr:colOff>295275</xdr:colOff>
          <xdr:row>12</xdr:row>
          <xdr:rowOff>38100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Отсутствие защитных приспособлений на окнах (для помещений расположенных на первом этаже)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11</xdr:row>
          <xdr:rowOff>142875</xdr:rowOff>
        </xdr:from>
        <xdr:to>
          <xdr:col>9</xdr:col>
          <xdr:colOff>219075</xdr:colOff>
          <xdr:row>12</xdr:row>
          <xdr:rowOff>161925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Проведение ремонтно-отделочных работы в помещении в период страхования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12</xdr:row>
          <xdr:rowOff>95250</xdr:rowOff>
        </xdr:from>
        <xdr:to>
          <xdr:col>10</xdr:col>
          <xdr:colOff>533400</xdr:colOff>
          <xdr:row>16</xdr:row>
          <xdr:rowOff>19050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Помещение находится в собственности сотрудника АС, либо его близкого родственника (мать, отец, муж, жена, брат, сестра, дети)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47625</xdr:rowOff>
        </xdr:from>
        <xdr:to>
          <xdr:col>16</xdr:col>
          <xdr:colOff>28575</xdr:colOff>
          <xdr:row>2</xdr:row>
          <xdr:rowOff>114300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2</xdr:row>
          <xdr:rowOff>57150</xdr:rowOff>
        </xdr:from>
        <xdr:to>
          <xdr:col>5</xdr:col>
          <xdr:colOff>590550</xdr:colOff>
          <xdr:row>4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1000125</xdr:colOff>
      <xdr:row>0</xdr:row>
      <xdr:rowOff>0</xdr:rowOff>
    </xdr:from>
    <xdr:to>
      <xdr:col>12</xdr:col>
      <xdr:colOff>495300</xdr:colOff>
      <xdr:row>4</xdr:row>
      <xdr:rowOff>11028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9200" y="0"/>
          <a:ext cx="2276475" cy="773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76200</xdr:rowOff>
        </xdr:from>
        <xdr:to>
          <xdr:col>9</xdr:col>
          <xdr:colOff>952500</xdr:colOff>
          <xdr:row>2</xdr:row>
          <xdr:rowOff>152400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Копировать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0</xdr:rowOff>
    </xdr:from>
    <xdr:to>
      <xdr:col>19</xdr:col>
      <xdr:colOff>123825</xdr:colOff>
      <xdr:row>2</xdr:row>
      <xdr:rowOff>152400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0"/>
          <a:ext cx="5448300" cy="5334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17</xdr:row>
          <xdr:rowOff>171450</xdr:rowOff>
        </xdr:from>
        <xdr:to>
          <xdr:col>7</xdr:col>
          <xdr:colOff>114300</xdr:colOff>
          <xdr:row>19</xdr:row>
          <xdr:rowOff>19050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Помещение сдаётся в аренду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18</xdr:row>
          <xdr:rowOff>133350</xdr:rowOff>
        </xdr:from>
        <xdr:to>
          <xdr:col>22</xdr:col>
          <xdr:colOff>180975</xdr:colOff>
          <xdr:row>20</xdr:row>
          <xdr:rowOff>9525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Деревянные межэтажные перекрытия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18</xdr:row>
          <xdr:rowOff>133350</xdr:rowOff>
        </xdr:from>
        <xdr:to>
          <xdr:col>12</xdr:col>
          <xdr:colOff>342900</xdr:colOff>
          <xdr:row>20</xdr:row>
          <xdr:rowOff>9525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Проведение ремонтно-отделочных работ в течение срока действия полиса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6;&#1072;&#1073;&#1086;&#1095;&#1072;&#1103;%20&#1048;&#1060;&#1051;/&#1056;&#1072;&#1073;&#1086;&#1090;&#1072;/&#1057;&#1055;%20&#1055;&#1044;&#1044;/&#1050;&#1072;&#1083;&#1100;&#1082;&#1091;&#1083;&#1103;&#1090;&#1086;&#1088;%20&#1055;&#1076;&#1044;%2019&#1074;&#1077;&#1088;&#1089;&#1080;&#1103;_201811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Заявление"/>
      <sheetName val="Лист1"/>
      <sheetName val="интерфейс"/>
      <sheetName val="Пролонгация"/>
      <sheetName val="Расчет СС"/>
      <sheetName val="Вспомогательный лист с расчетом"/>
      <sheetName val="Перечень_домашнего_имущества"/>
      <sheetName val="Перечень_особо_ценного"/>
      <sheetName val="Ксрок"/>
      <sheetName val="Кфран"/>
      <sheetName val="Коэфициенты"/>
      <sheetName val="Перечень_эл_ландшафт_дизайна"/>
      <sheetName val="ЗаявлениеБланк"/>
      <sheetName val="списки"/>
      <sheetName val="ДС"/>
      <sheetName val="Сотрудники"/>
      <sheetName val="Полис"/>
      <sheetName val="Лист2"/>
    </sheetNames>
    <sheetDataSet>
      <sheetData sheetId="0" refreshError="1"/>
      <sheetData sheetId="1" refreshError="1"/>
      <sheetData sheetId="2">
        <row r="90">
          <cell r="AH90" t="b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2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absolutins.ru/klientam/strahovye-pravila-i-tarify/" TargetMode="Externa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A24C6-3387-4661-B5EC-43E5BDF88272}">
  <sheetPr codeName="Лист1">
    <tabColor rgb="FF92D050"/>
    <pageSetUpPr fitToPage="1"/>
  </sheetPr>
  <dimension ref="A1:S109"/>
  <sheetViews>
    <sheetView workbookViewId="0">
      <selection activeCell="I17" sqref="I17"/>
    </sheetView>
  </sheetViews>
  <sheetFormatPr defaultColWidth="0" defaultRowHeight="15" zeroHeight="1" x14ac:dyDescent="0.25"/>
  <cols>
    <col min="1" max="1" width="6.85546875" customWidth="1"/>
    <col min="2" max="2" width="8.42578125" customWidth="1"/>
    <col min="3" max="3" width="9" customWidth="1"/>
    <col min="4" max="4" width="6.85546875" customWidth="1"/>
    <col min="5" max="5" width="8.28515625" customWidth="1"/>
    <col min="6" max="6" width="10.7109375" customWidth="1"/>
    <col min="7" max="7" width="9.140625" customWidth="1"/>
    <col min="8" max="8" width="5.7109375" customWidth="1"/>
    <col min="9" max="9" width="12.42578125" customWidth="1"/>
    <col min="10" max="10" width="7.42578125" customWidth="1"/>
    <col min="11" max="11" width="14.85546875" customWidth="1"/>
    <col min="12" max="12" width="5.7109375" customWidth="1"/>
    <col min="13" max="13" width="8.7109375" customWidth="1"/>
    <col min="14" max="14" width="14.140625" customWidth="1"/>
    <col min="15" max="15" width="11" customWidth="1"/>
    <col min="16" max="19" width="0" hidden="1" customWidth="1"/>
    <col min="20" max="16384" width="9.140625" hidden="1"/>
  </cols>
  <sheetData>
    <row r="1" spans="1:15" ht="20.25" x14ac:dyDescent="0.4">
      <c r="A1" s="1"/>
      <c r="B1" s="1"/>
      <c r="C1" s="1"/>
      <c r="D1" s="2" t="s">
        <v>0</v>
      </c>
      <c r="E1" s="1"/>
      <c r="F1" s="1"/>
      <c r="G1" s="1"/>
      <c r="H1" s="1"/>
      <c r="I1" s="1"/>
      <c r="J1" s="1"/>
      <c r="K1" s="1"/>
      <c r="L1" s="1"/>
      <c r="M1" s="27" t="s">
        <v>49</v>
      </c>
      <c r="N1" s="1"/>
      <c r="O1" s="1"/>
    </row>
    <row r="2" spans="1:15" x14ac:dyDescent="0.25">
      <c r="A2" s="1"/>
      <c r="B2" s="1"/>
      <c r="C2" s="1"/>
      <c r="D2" s="1"/>
      <c r="E2" s="1"/>
      <c r="F2" s="1"/>
      <c r="G2" s="1"/>
      <c r="H2" s="37" t="s">
        <v>26</v>
      </c>
      <c r="I2" s="38">
        <v>0.88</v>
      </c>
      <c r="J2" s="38" t="s">
        <v>20</v>
      </c>
      <c r="K2" s="38">
        <v>0.85</v>
      </c>
      <c r="L2" s="38"/>
      <c r="M2" s="38" t="s">
        <v>9</v>
      </c>
      <c r="N2" s="38" t="s">
        <v>11</v>
      </c>
      <c r="O2" s="39">
        <v>0.89</v>
      </c>
    </row>
    <row r="3" spans="1:15" x14ac:dyDescent="0.25">
      <c r="A3" s="238" t="s">
        <v>2</v>
      </c>
      <c r="B3" s="238"/>
      <c r="C3" s="238"/>
      <c r="D3" s="239"/>
      <c r="E3" s="239"/>
      <c r="F3" s="1"/>
      <c r="G3" s="1"/>
      <c r="H3" s="38" t="s">
        <v>24</v>
      </c>
      <c r="I3" s="38">
        <v>1.06</v>
      </c>
      <c r="J3" s="38" t="s">
        <v>21</v>
      </c>
      <c r="K3" s="38">
        <v>1</v>
      </c>
      <c r="L3" s="38"/>
      <c r="M3" s="38" t="s">
        <v>10</v>
      </c>
      <c r="N3" s="38" t="s">
        <v>12</v>
      </c>
      <c r="O3" s="38">
        <v>0.86</v>
      </c>
    </row>
    <row r="4" spans="1:15" x14ac:dyDescent="0.25">
      <c r="A4" s="238" t="s">
        <v>3</v>
      </c>
      <c r="B4" s="238"/>
      <c r="C4" s="238"/>
      <c r="D4" s="85"/>
      <c r="E4" s="86"/>
      <c r="F4" s="1"/>
      <c r="G4" s="1"/>
      <c r="H4" s="38" t="s">
        <v>25</v>
      </c>
      <c r="I4" s="38">
        <v>1.1299999999999999</v>
      </c>
      <c r="J4" s="38" t="s">
        <v>22</v>
      </c>
      <c r="K4" s="38">
        <v>1.05</v>
      </c>
      <c r="L4" s="38"/>
      <c r="M4" s="38" t="s">
        <v>27</v>
      </c>
      <c r="N4" s="38" t="s">
        <v>13</v>
      </c>
      <c r="O4" s="38">
        <v>1.05</v>
      </c>
    </row>
    <row r="5" spans="1:15" x14ac:dyDescent="0.25">
      <c r="A5" s="238" t="s">
        <v>4</v>
      </c>
      <c r="B5" s="238"/>
      <c r="C5" s="238"/>
      <c r="D5" s="87"/>
      <c r="E5" s="86"/>
      <c r="F5" s="1"/>
      <c r="G5" s="1"/>
      <c r="H5" s="38"/>
      <c r="I5" s="38"/>
      <c r="J5" s="38" t="s">
        <v>23</v>
      </c>
      <c r="K5" s="38">
        <v>1.1000000000000001</v>
      </c>
      <c r="L5" s="38"/>
      <c r="M5" s="38" t="s">
        <v>28</v>
      </c>
      <c r="N5" s="38" t="s">
        <v>14</v>
      </c>
      <c r="O5" s="38">
        <v>1.1299999999999999</v>
      </c>
    </row>
    <row r="6" spans="1:15" x14ac:dyDescent="0.25">
      <c r="A6" s="238" t="s">
        <v>5</v>
      </c>
      <c r="B6" s="238"/>
      <c r="C6" s="238"/>
      <c r="D6" s="85"/>
      <c r="E6" s="86"/>
      <c r="F6" s="1"/>
      <c r="G6" s="1"/>
      <c r="H6" s="38">
        <v>1</v>
      </c>
      <c r="I6" s="38">
        <v>0.86</v>
      </c>
      <c r="J6" s="38"/>
      <c r="K6" s="38" t="s">
        <v>29</v>
      </c>
      <c r="L6" s="38">
        <v>0.91</v>
      </c>
      <c r="M6" s="38"/>
      <c r="N6" s="38" t="s">
        <v>15</v>
      </c>
      <c r="O6" s="38">
        <v>0</v>
      </c>
    </row>
    <row r="7" spans="1:15" x14ac:dyDescent="0.25">
      <c r="A7" s="238" t="s">
        <v>1</v>
      </c>
      <c r="B7" s="238"/>
      <c r="C7" s="238"/>
      <c r="D7" s="85"/>
      <c r="E7" s="86"/>
      <c r="F7" s="1"/>
      <c r="G7" s="1"/>
      <c r="H7" s="38" t="s">
        <v>24</v>
      </c>
      <c r="I7" s="38">
        <v>1.03</v>
      </c>
      <c r="J7" s="38"/>
      <c r="K7" s="38" t="s">
        <v>30</v>
      </c>
      <c r="L7" s="38">
        <v>1.03</v>
      </c>
      <c r="M7" s="38"/>
      <c r="N7" s="38"/>
      <c r="O7" s="38"/>
    </row>
    <row r="8" spans="1:15" x14ac:dyDescent="0.25">
      <c r="A8" s="3"/>
      <c r="B8" s="3"/>
      <c r="C8" s="3"/>
      <c r="D8" s="1"/>
      <c r="E8" s="1"/>
      <c r="F8" s="1"/>
      <c r="G8" s="1"/>
      <c r="H8" s="38" t="s">
        <v>25</v>
      </c>
      <c r="I8" s="38">
        <v>1.07</v>
      </c>
      <c r="J8" s="38"/>
      <c r="K8" s="38" t="s">
        <v>31</v>
      </c>
      <c r="L8" s="38">
        <v>1.08</v>
      </c>
      <c r="M8" s="38"/>
      <c r="N8" s="38"/>
      <c r="O8" s="38"/>
    </row>
    <row r="9" spans="1:15" ht="12.7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38"/>
      <c r="M9" s="38"/>
      <c r="N9" s="38"/>
      <c r="O9" s="38"/>
    </row>
    <row r="10" spans="1:15" ht="1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40" t="s">
        <v>16</v>
      </c>
      <c r="M10" s="40" t="s">
        <v>18</v>
      </c>
      <c r="N10" s="40" t="s">
        <v>17</v>
      </c>
      <c r="O10" s="38"/>
    </row>
    <row r="11" spans="1:15" x14ac:dyDescent="0.25">
      <c r="A11" s="231" t="s">
        <v>6</v>
      </c>
      <c r="B11" s="231"/>
      <c r="C11" s="231"/>
      <c r="D11" s="231"/>
      <c r="E11" s="231"/>
      <c r="F11" s="231"/>
      <c r="G11" s="231"/>
      <c r="H11" s="235"/>
      <c r="I11" s="236"/>
      <c r="J11" s="1"/>
      <c r="K11" s="1"/>
      <c r="L11" s="41">
        <v>5000</v>
      </c>
      <c r="M11" s="41">
        <v>12000</v>
      </c>
      <c r="N11" s="41">
        <v>26000</v>
      </c>
      <c r="O11" s="38"/>
    </row>
    <row r="12" spans="1:15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41">
        <v>6000</v>
      </c>
      <c r="M12" s="41">
        <v>13000</v>
      </c>
      <c r="N12" s="41">
        <v>27000</v>
      </c>
      <c r="O12" s="38"/>
    </row>
    <row r="13" spans="1:15" x14ac:dyDescent="0.25">
      <c r="A13" s="1"/>
      <c r="B13" s="1"/>
      <c r="C13" s="1"/>
      <c r="D13" s="1"/>
      <c r="E13" s="1"/>
      <c r="F13" s="237"/>
      <c r="G13" s="237"/>
      <c r="H13" s="1"/>
      <c r="I13" s="1"/>
      <c r="J13" s="1"/>
      <c r="K13" s="1"/>
      <c r="L13" s="41">
        <v>7000</v>
      </c>
      <c r="M13" s="41">
        <v>14000</v>
      </c>
      <c r="N13" s="41">
        <v>28000</v>
      </c>
      <c r="O13" s="38"/>
    </row>
    <row r="14" spans="1:15" ht="15" customHeight="1" x14ac:dyDescent="0.25">
      <c r="A14" s="231" t="s">
        <v>41</v>
      </c>
      <c r="B14" s="231"/>
      <c r="C14" s="231"/>
      <c r="D14" s="231"/>
      <c r="E14" s="231"/>
      <c r="F14" s="231"/>
      <c r="G14" s="231"/>
      <c r="H14" s="232"/>
      <c r="I14" s="45"/>
      <c r="J14" s="6" t="s">
        <v>19</v>
      </c>
      <c r="K14" s="1"/>
      <c r="L14" s="41">
        <v>8000</v>
      </c>
      <c r="M14" s="41">
        <v>15000</v>
      </c>
      <c r="N14" s="41">
        <v>29000</v>
      </c>
      <c r="O14" s="38"/>
    </row>
    <row r="15" spans="1:15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41">
        <v>9000</v>
      </c>
      <c r="M15" s="41">
        <v>16000</v>
      </c>
      <c r="N15" s="41">
        <v>30000</v>
      </c>
      <c r="O15" s="38"/>
    </row>
    <row r="16" spans="1:15" ht="15" customHeight="1" x14ac:dyDescent="0.25">
      <c r="A16" s="1"/>
      <c r="B16" s="1"/>
      <c r="C16" s="1"/>
      <c r="D16" s="1"/>
      <c r="E16" s="1"/>
      <c r="F16" s="231" t="s">
        <v>7</v>
      </c>
      <c r="G16" s="231"/>
      <c r="H16" s="231"/>
      <c r="I16" s="46"/>
      <c r="J16" s="1"/>
      <c r="K16" s="1"/>
      <c r="L16" s="41">
        <v>10000</v>
      </c>
      <c r="M16" s="41">
        <v>17000</v>
      </c>
      <c r="N16" s="41">
        <v>31000</v>
      </c>
      <c r="O16" s="38"/>
    </row>
    <row r="17" spans="1:19" ht="15" customHeight="1" x14ac:dyDescent="0.25">
      <c r="A17" s="1"/>
      <c r="B17" s="1"/>
      <c r="C17" s="231" t="s">
        <v>8</v>
      </c>
      <c r="D17" s="231"/>
      <c r="E17" s="231"/>
      <c r="F17" s="231"/>
      <c r="G17" s="231"/>
      <c r="H17" s="231"/>
      <c r="I17" s="47"/>
      <c r="J17" s="5" t="s">
        <v>19</v>
      </c>
      <c r="K17" s="1"/>
      <c r="L17" s="41">
        <v>11000</v>
      </c>
      <c r="M17" s="41">
        <v>18000</v>
      </c>
      <c r="N17" s="41">
        <v>32000</v>
      </c>
      <c r="O17" s="38"/>
    </row>
    <row r="18" spans="1:1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42"/>
      <c r="M18" s="41">
        <v>19000</v>
      </c>
      <c r="N18" s="41">
        <v>33000</v>
      </c>
      <c r="O18" s="38"/>
    </row>
    <row r="19" spans="1:19" ht="15" customHeight="1" x14ac:dyDescent="0.25">
      <c r="A19" s="1"/>
      <c r="B19" s="233"/>
      <c r="C19" s="234"/>
      <c r="D19" s="234"/>
      <c r="E19" s="234"/>
      <c r="F19" s="234"/>
      <c r="G19" s="1"/>
      <c r="H19" s="1"/>
      <c r="I19" s="1"/>
      <c r="J19" s="1"/>
      <c r="K19" s="1"/>
      <c r="L19" s="4"/>
      <c r="M19" s="41">
        <v>20000</v>
      </c>
      <c r="N19" s="41">
        <v>34000</v>
      </c>
      <c r="O19" s="38"/>
    </row>
    <row r="20" spans="1:19" ht="18.75" x14ac:dyDescent="0.4">
      <c r="A20" s="7"/>
      <c r="B20" s="9"/>
      <c r="C20" s="10"/>
      <c r="D20" s="10"/>
      <c r="E20" s="18"/>
      <c r="F20" s="18" t="s">
        <v>45</v>
      </c>
      <c r="G20" s="91"/>
      <c r="H20" s="91"/>
      <c r="I20" s="92" t="s">
        <v>47</v>
      </c>
      <c r="J20" s="91"/>
      <c r="K20" s="93" t="s">
        <v>48</v>
      </c>
      <c r="L20" s="23"/>
      <c r="M20" s="41">
        <v>21000</v>
      </c>
      <c r="N20" s="41">
        <v>35000</v>
      </c>
      <c r="O20" s="38"/>
    </row>
    <row r="21" spans="1:19" ht="18.75" customHeight="1" x14ac:dyDescent="0.25">
      <c r="A21" s="7"/>
      <c r="B21" s="225" t="s">
        <v>138</v>
      </c>
      <c r="C21" s="226"/>
      <c r="D21" s="226"/>
      <c r="E21" s="226"/>
      <c r="F21" s="226"/>
      <c r="G21" s="229" t="s">
        <v>46</v>
      </c>
      <c r="H21" s="218">
        <f>IF(OR(D3="деревянный", I14=""),0,(конструктив*0.5)+(отделка*0.85))</f>
        <v>0</v>
      </c>
      <c r="I21" s="218"/>
      <c r="J21" s="229" t="s">
        <v>44</v>
      </c>
      <c r="K21" s="218">
        <f>IF(OR(G3="деревянный",I14=""),0,(конструктив*1.1)+(отделка*1.25))</f>
        <v>0</v>
      </c>
      <c r="L21" s="216" t="s">
        <v>19</v>
      </c>
      <c r="M21" s="41">
        <v>22000</v>
      </c>
      <c r="N21" s="41">
        <v>36000</v>
      </c>
      <c r="O21" s="38"/>
    </row>
    <row r="22" spans="1:19" ht="21.75" customHeight="1" x14ac:dyDescent="0.25">
      <c r="A22" s="7"/>
      <c r="B22" s="227"/>
      <c r="C22" s="228"/>
      <c r="D22" s="228"/>
      <c r="E22" s="228"/>
      <c r="F22" s="228"/>
      <c r="G22" s="230"/>
      <c r="H22" s="219"/>
      <c r="I22" s="219"/>
      <c r="J22" s="230"/>
      <c r="K22" s="219"/>
      <c r="L22" s="217"/>
      <c r="M22" s="41">
        <v>23000</v>
      </c>
      <c r="N22" s="41">
        <v>37000</v>
      </c>
      <c r="O22" s="38"/>
    </row>
    <row r="23" spans="1:19" ht="18.75" x14ac:dyDescent="0.4">
      <c r="A23" s="7"/>
      <c r="B23" s="9"/>
      <c r="C23" s="10"/>
      <c r="D23" s="10"/>
      <c r="E23" s="18"/>
      <c r="F23" s="18"/>
      <c r="G23" s="88"/>
      <c r="H23" s="88"/>
      <c r="I23" s="89"/>
      <c r="J23" s="88"/>
      <c r="K23" s="90"/>
      <c r="L23" s="12"/>
      <c r="M23" s="41">
        <v>24000</v>
      </c>
      <c r="N23" s="41">
        <v>38000</v>
      </c>
      <c r="O23" s="38"/>
    </row>
    <row r="24" spans="1:19" ht="15.75" x14ac:dyDescent="0.25">
      <c r="A24" s="1"/>
      <c r="B24" s="19" t="s">
        <v>42</v>
      </c>
      <c r="C24" s="20"/>
      <c r="D24" s="20"/>
      <c r="E24" s="20"/>
      <c r="F24" s="20"/>
      <c r="G24" s="21" t="s">
        <v>46</v>
      </c>
      <c r="H24" s="224">
        <f>IF(D3="деревянный",0,конструктив*0.5)</f>
        <v>0</v>
      </c>
      <c r="I24" s="224"/>
      <c r="J24" s="24" t="s">
        <v>44</v>
      </c>
      <c r="K24" s="22">
        <f>конструктив*1.1</f>
        <v>0</v>
      </c>
      <c r="L24" s="23" t="s">
        <v>19</v>
      </c>
      <c r="M24" s="41">
        <v>25000</v>
      </c>
      <c r="N24" s="41">
        <v>39000</v>
      </c>
      <c r="O24" s="38"/>
    </row>
    <row r="25" spans="1:19" ht="15.75" x14ac:dyDescent="0.25">
      <c r="A25" s="1"/>
      <c r="B25" s="220" t="s">
        <v>43</v>
      </c>
      <c r="C25" s="221"/>
      <c r="D25" s="221"/>
      <c r="E25" s="221"/>
      <c r="F25" s="221"/>
      <c r="G25" s="7"/>
      <c r="H25" s="218">
        <f>IF(D3="деревянный",0,отделка*0.85)</f>
        <v>0</v>
      </c>
      <c r="I25" s="218"/>
      <c r="J25" s="25"/>
      <c r="K25" s="218">
        <f>отделка*1.25</f>
        <v>0</v>
      </c>
      <c r="L25" s="12"/>
      <c r="M25" s="38"/>
      <c r="N25" s="41">
        <v>40000</v>
      </c>
      <c r="O25" s="38"/>
    </row>
    <row r="26" spans="1:19" ht="15.75" x14ac:dyDescent="0.25">
      <c r="A26" s="1"/>
      <c r="B26" s="222"/>
      <c r="C26" s="223"/>
      <c r="D26" s="223"/>
      <c r="E26" s="223"/>
      <c r="F26" s="223"/>
      <c r="G26" s="16" t="s">
        <v>46</v>
      </c>
      <c r="H26" s="219"/>
      <c r="I26" s="219"/>
      <c r="J26" s="26" t="s">
        <v>44</v>
      </c>
      <c r="K26" s="219"/>
      <c r="L26" s="17" t="s">
        <v>19</v>
      </c>
      <c r="M26" s="38"/>
      <c r="N26" s="41">
        <v>41000</v>
      </c>
      <c r="O26" s="38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4"/>
      <c r="M27" s="38"/>
      <c r="N27" s="41">
        <v>42000</v>
      </c>
      <c r="O27" s="38"/>
      <c r="S27" s="48"/>
    </row>
    <row r="28" spans="1:19" x14ac:dyDescent="0.25">
      <c r="A28" s="1"/>
      <c r="B28" s="29" t="str">
        <f>IF(I14&gt;200000,"Лимит страховой суммы превышен. Требуется согласование андеррайтера",IF(I17&gt;40000,"Лимит страховой суммы превышен. Требуется согласование андеррайтера",""))</f>
        <v/>
      </c>
      <c r="C28" s="30"/>
      <c r="D28" s="30"/>
      <c r="E28" s="30"/>
      <c r="F28" s="30"/>
      <c r="G28" s="30"/>
      <c r="H28" s="30"/>
      <c r="I28" s="30"/>
      <c r="J28" s="30"/>
      <c r="K28" s="30"/>
      <c r="L28" s="31"/>
      <c r="M28" s="32"/>
      <c r="N28" s="41">
        <v>43000</v>
      </c>
      <c r="O28" s="84"/>
      <c r="R28" s="48"/>
    </row>
    <row r="29" spans="1:19" x14ac:dyDescent="0.25">
      <c r="A29" s="1"/>
      <c r="B29" s="33" t="str">
        <f>IF(AND(I14&lt;50000,I14&gt;0),"Расчёт выполнен некорректно. Требуется согласование андеррайтера",IF(AND(I17&lt;5000,I17&gt;0),"Расчёт выполнен некорректно. Требуется согласование андеррайтера",""))</f>
        <v/>
      </c>
      <c r="C29" s="34"/>
      <c r="D29" s="34"/>
      <c r="E29" s="34"/>
      <c r="F29" s="34"/>
      <c r="G29" s="34"/>
      <c r="H29" s="34"/>
      <c r="I29" s="34"/>
      <c r="J29" s="34"/>
      <c r="K29" s="34"/>
      <c r="L29" s="35"/>
      <c r="M29" s="36"/>
      <c r="N29" s="41">
        <v>44000</v>
      </c>
      <c r="O29" s="84"/>
    </row>
    <row r="30" spans="1:19" x14ac:dyDescent="0.25">
      <c r="A30" s="1"/>
      <c r="B30" s="33" t="str">
        <f>IF(H11="водяной", "Для страхования по риску ''Гражданская ответственность'' требуется согласование андеррайтера","")</f>
        <v/>
      </c>
      <c r="C30" s="34"/>
      <c r="D30" s="34"/>
      <c r="E30" s="34"/>
      <c r="F30" s="34"/>
      <c r="G30" s="34"/>
      <c r="H30" s="34"/>
      <c r="I30" s="34"/>
      <c r="J30" s="34"/>
      <c r="K30" s="34"/>
      <c r="L30" s="35"/>
      <c r="M30" s="36"/>
      <c r="N30" s="41">
        <v>45000</v>
      </c>
      <c r="O30" s="84"/>
    </row>
    <row r="31" spans="1:19" x14ac:dyDescent="0.25">
      <c r="A31" s="1"/>
      <c r="B31" s="33" t="str">
        <f>IF(AND(D4&lt;1950,D4&gt;0),"Возраст превышен. Требуется согласование андеррайтера","")</f>
        <v/>
      </c>
      <c r="C31" s="7"/>
      <c r="D31" s="7"/>
      <c r="E31" s="7"/>
      <c r="F31" s="7"/>
      <c r="G31" s="7"/>
      <c r="H31" s="7"/>
      <c r="I31" s="7"/>
      <c r="J31" s="7"/>
      <c r="K31" s="7"/>
      <c r="L31" s="8"/>
      <c r="M31" s="28"/>
      <c r="N31" s="84"/>
      <c r="O31" s="84"/>
    </row>
    <row r="32" spans="1:19" x14ac:dyDescent="0.25">
      <c r="A32" s="1"/>
      <c r="B32" s="33" t="str">
        <f>IF(AND(D5&lt;3,D5&gt;0),"Для страхования малоэтажных строений требуется согласование андеррайтера","")</f>
        <v/>
      </c>
      <c r="C32" s="7"/>
      <c r="D32" s="7"/>
      <c r="E32" s="7"/>
      <c r="F32" s="7"/>
      <c r="G32" s="7"/>
      <c r="H32" s="7"/>
      <c r="I32" s="7"/>
      <c r="J32" s="7"/>
      <c r="K32" s="7"/>
      <c r="L32" s="8"/>
      <c r="M32" s="28"/>
      <c r="N32" s="84"/>
      <c r="O32" s="84"/>
    </row>
    <row r="33" spans="1:15" x14ac:dyDescent="0.25">
      <c r="A33" s="1"/>
      <c r="B33" s="11"/>
      <c r="C33" s="7"/>
      <c r="D33" s="7"/>
      <c r="E33" s="7"/>
      <c r="F33" s="7"/>
      <c r="G33" s="7"/>
      <c r="H33" s="7"/>
      <c r="I33" s="7"/>
      <c r="J33" s="7"/>
      <c r="K33" s="7"/>
      <c r="L33" s="8"/>
      <c r="M33" s="28"/>
      <c r="N33" s="84"/>
      <c r="O33" s="84"/>
    </row>
    <row r="34" spans="1:15" x14ac:dyDescent="0.25">
      <c r="A34" s="1"/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5"/>
      <c r="N34" s="84"/>
      <c r="O34" s="84"/>
    </row>
    <row r="35" spans="1:15" x14ac:dyDescent="0.25">
      <c r="A35" s="38" t="s">
        <v>32</v>
      </c>
      <c r="B35" s="38" t="s">
        <v>33</v>
      </c>
      <c r="C35" s="38" t="s">
        <v>34</v>
      </c>
      <c r="D35" s="38" t="s">
        <v>35</v>
      </c>
      <c r="E35" s="38" t="s">
        <v>36</v>
      </c>
      <c r="F35" s="38" t="s">
        <v>37</v>
      </c>
      <c r="G35" s="38" t="s">
        <v>38</v>
      </c>
      <c r="H35" s="38" t="s">
        <v>39</v>
      </c>
      <c r="I35" s="38" t="s">
        <v>40</v>
      </c>
      <c r="J35" s="38"/>
      <c r="K35" s="38"/>
      <c r="L35" s="38"/>
      <c r="M35" s="38"/>
      <c r="N35" s="84"/>
      <c r="O35" s="84"/>
    </row>
    <row r="36" spans="1:15" x14ac:dyDescent="0.25">
      <c r="A36" s="43">
        <f>I14</f>
        <v>0</v>
      </c>
      <c r="B36" s="38">
        <f>IF(D3="панельный",O2,IF(D3="блочный",O3,IF(D3="кирпичный",O4,IF(D3="монолит",O5,IF(D3="деревянный",0,0)))))</f>
        <v>0</v>
      </c>
      <c r="C36" s="38">
        <f>IF(D4&lt;1970,K2,IF(AND(D4&gt;=1970,D4&lt;1990),K3,IF(AND(D4&gt;=1990,D4&lt;2010),K4,IF(D4&gt;=2010,K5,222))))</f>
        <v>0.85</v>
      </c>
      <c r="D36" s="38">
        <f>IF(D5&lt;4,I2,IF(AND(D5&gt;=4,D5&lt;10),1,IF(AND(D5&gt;=10,D5&lt;20),I3,IF(D5&gt;=20,I4,0))))</f>
        <v>0.88</v>
      </c>
      <c r="E36" s="38">
        <f>IF(D6=1,I6,IF(AND(D6&gt;=2,D6&lt;10),1,IF(AND(D6&gt;=10,D6&lt;20),I7,IF(D6&gt;=20,I4,0))))</f>
        <v>0</v>
      </c>
      <c r="F36" s="38">
        <f>IF(D7&lt;35,L6,IF(AND(D7&gt;=35,D7&lt;65),1,IF(AND(D7&gt;=65,D7&lt;100),L7,IF(D7&gt;=20,L8,0))))</f>
        <v>0.91</v>
      </c>
      <c r="G36" s="38">
        <f>IF(G38=TRUE,1.05,1)</f>
        <v>1.05</v>
      </c>
      <c r="H36" s="38">
        <v>1</v>
      </c>
      <c r="I36" s="38">
        <v>1</v>
      </c>
      <c r="J36" s="38"/>
      <c r="K36" s="44">
        <f>(A36*D7)*B36*C36*D36*E36*F36*G36*H36*I36</f>
        <v>0</v>
      </c>
      <c r="L36" s="38"/>
      <c r="M36" s="38"/>
      <c r="N36" s="84"/>
      <c r="O36" s="84"/>
    </row>
    <row r="37" spans="1:15" ht="15" customHeight="1" x14ac:dyDescent="0.25">
      <c r="A37" s="43">
        <f>I17</f>
        <v>0</v>
      </c>
      <c r="B37" s="38">
        <f>IF(D3="панельный",O2,IF(D3="блочный",O3,IF(D3="кирпичный",O4,IF(D3="монолит",O5,IF(D3="деревянный",0,0)))))</f>
        <v>0</v>
      </c>
      <c r="C37" s="38">
        <f>IF(D4&lt;1970,K2,IF(AND(D4&gt;=1970,D4&lt;1990),K3,IF(AND(D4&gt;=1990,D4&lt;2010),K4,IF(D4&gt;=2010,K5,222))))</f>
        <v>0.85</v>
      </c>
      <c r="D37" s="38">
        <f>IF(D5&lt;4,I2,IF(AND(D5&gt;=4,D5&lt;10),1,IF(AND(D5&gt;=10,D5&lt;20),I3,IF(D5&gt;=20,I4,0))))</f>
        <v>0.88</v>
      </c>
      <c r="E37" s="38">
        <v>1</v>
      </c>
      <c r="F37" s="38">
        <f>IF(D7&lt;35,L6,IF(AND(D7&gt;=35,D7&lt;65),1,IF(AND(D7&gt;=65,D7&lt;100),L7,IF(D7&gt;=20,L8,0))))</f>
        <v>0.91</v>
      </c>
      <c r="G37" s="38">
        <f>IF(G38=TRUE,1.05,1)</f>
        <v>1.05</v>
      </c>
      <c r="H37" s="38">
        <f>IF(H38=TRUE,1.05,1)</f>
        <v>1</v>
      </c>
      <c r="I37" s="38">
        <f>IF(H11="электрический",1.03,IF(H11="водяной","1,07",1))</f>
        <v>1</v>
      </c>
      <c r="J37" s="38"/>
      <c r="K37" s="44">
        <f>(A37*D7)*B37*C37*D37*E37*F37*G37*H37*I37</f>
        <v>0</v>
      </c>
      <c r="L37" s="38"/>
      <c r="M37" s="38"/>
      <c r="N37" s="84"/>
      <c r="O37" s="84"/>
    </row>
    <row r="38" spans="1:15" ht="15" customHeight="1" x14ac:dyDescent="0.25">
      <c r="A38" s="38"/>
      <c r="B38" s="38"/>
      <c r="C38" s="38"/>
      <c r="D38" s="38"/>
      <c r="E38" s="38"/>
      <c r="F38" s="38"/>
      <c r="G38" s="94" t="b">
        <v>1</v>
      </c>
      <c r="H38" s="94" t="b">
        <v>0</v>
      </c>
      <c r="I38" s="38"/>
      <c r="J38" s="38"/>
      <c r="K38" s="38"/>
      <c r="L38" s="38"/>
      <c r="M38" s="38"/>
      <c r="N38" s="84"/>
      <c r="O38" s="84"/>
    </row>
    <row r="39" spans="1:15" x14ac:dyDescent="0.2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84"/>
      <c r="O39" s="84"/>
    </row>
    <row r="40" spans="1:15" x14ac:dyDescent="0.25">
      <c r="A40" s="84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</row>
    <row r="41" spans="1:15" x14ac:dyDescent="0.25">
      <c r="A41" s="84"/>
      <c r="B41" s="84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</row>
    <row r="42" spans="1:1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1:1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1:15" ht="15" hidden="1" customHeight="1" x14ac:dyDescent="0.25">
      <c r="A44" s="1"/>
      <c r="B44" s="1"/>
      <c r="C44" s="1"/>
      <c r="D44" s="1"/>
      <c r="E44" s="83"/>
      <c r="F44" s="83"/>
      <c r="G44" s="83"/>
      <c r="H44" s="83"/>
      <c r="I44" s="83"/>
      <c r="J44" s="83"/>
      <c r="K44" s="1"/>
      <c r="L44" s="1"/>
      <c r="M44" s="1"/>
      <c r="N44" s="1"/>
      <c r="O44" s="1"/>
    </row>
    <row r="45" spans="1:15" ht="15" hidden="1" customHeight="1" x14ac:dyDescent="0.25">
      <c r="A45" s="1"/>
      <c r="B45" s="1"/>
      <c r="C45" s="1"/>
      <c r="D45" s="1"/>
      <c r="E45" s="83"/>
      <c r="F45" s="83"/>
      <c r="G45" s="83"/>
      <c r="H45" s="83"/>
      <c r="I45" s="83"/>
      <c r="J45" s="83"/>
      <c r="K45" s="1"/>
      <c r="L45" s="1"/>
      <c r="M45" s="1"/>
      <c r="N45" s="1"/>
      <c r="O45" s="1"/>
    </row>
    <row r="46" spans="1:15" hidden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1:15" hidden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1:15" hidden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</row>
    <row r="49" spans="1:15" hidden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spans="1:15" hidden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spans="1:15" hidden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spans="1:15" hidden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spans="1:15" hidden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spans="1:15" hidden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spans="1:15" hidden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spans="1:15" hidden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spans="1:15" hidden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spans="1:15" hidden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spans="1:15" hidden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spans="1:15" hidden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spans="1:15" hidden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spans="1:15" hidden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spans="1:15" hidden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spans="1:15" hidden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spans="1:15" hidden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spans="1:15" hidden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1:15" hidden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spans="1:15" hidden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spans="1:15" hidden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spans="1:15" hidden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spans="1:15" hidden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spans="1:15" hidden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spans="1:15" hidden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spans="1:15" hidden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spans="1:15" hidden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spans="1:15" hidden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spans="1:15" hidden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spans="1:15" hidden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spans="1:15" hidden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spans="1:15" hidden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spans="1:15" hidden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spans="1:15" hidden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spans="1:15" hidden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spans="1:15" hidden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spans="1:15" hidden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spans="1:15" hidden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spans="1:15" hidden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spans="1:15" hidden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spans="1:15" hidden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spans="1:15" hidden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spans="1:15" hidden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spans="1:15" hidden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spans="1:15" hidden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spans="1:15" hidden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spans="1:15" hidden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spans="1:15" hidden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spans="1:15" hidden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spans="1:15" hidden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spans="1:15" hidden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spans="1:15" hidden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spans="1:15" hidden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spans="1:15" hidden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spans="1:15" hidden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spans="1:15" hidden="1" x14ac:dyDescent="0.25"/>
    <row r="105" spans="1:15" hidden="1" x14ac:dyDescent="0.25"/>
    <row r="106" spans="1:15" hidden="1" x14ac:dyDescent="0.25"/>
    <row r="107" spans="1:15" hidden="1" x14ac:dyDescent="0.25"/>
    <row r="108" spans="1:15" hidden="1" x14ac:dyDescent="0.25"/>
    <row r="109" spans="1:15" hidden="1" x14ac:dyDescent="0.25"/>
  </sheetData>
  <sheetProtection selectLockedCells="1"/>
  <mergeCells count="23">
    <mergeCell ref="A7:C7"/>
    <mergeCell ref="A3:C3"/>
    <mergeCell ref="A4:C4"/>
    <mergeCell ref="A6:C6"/>
    <mergeCell ref="D3:E3"/>
    <mergeCell ref="A5:C5"/>
    <mergeCell ref="A14:H14"/>
    <mergeCell ref="F16:H16"/>
    <mergeCell ref="C17:H17"/>
    <mergeCell ref="B19:F19"/>
    <mergeCell ref="H11:I11"/>
    <mergeCell ref="A11:G11"/>
    <mergeCell ref="F13:G13"/>
    <mergeCell ref="L21:L22"/>
    <mergeCell ref="H25:I26"/>
    <mergeCell ref="K25:K26"/>
    <mergeCell ref="B25:F26"/>
    <mergeCell ref="H24:I24"/>
    <mergeCell ref="B21:F22"/>
    <mergeCell ref="J21:J22"/>
    <mergeCell ref="G21:G22"/>
    <mergeCell ref="H21:I22"/>
    <mergeCell ref="K21:K22"/>
  </mergeCells>
  <dataValidations count="9">
    <dataValidation type="list" allowBlank="1" showInputMessage="1" showErrorMessage="1" sqref="D3:E3" xr:uid="{0FD3DD0B-63B0-499E-A4E4-BB1FE6C510E8}">
      <formula1>$N$2:$N$6</formula1>
    </dataValidation>
    <dataValidation type="list" allowBlank="1" showInputMessage="1" showErrorMessage="1" sqref="I16" xr:uid="{C69A6E13-7159-4A09-8CFF-9A7153D14B14}">
      <formula1>$L$10:$N$10</formula1>
    </dataValidation>
    <dataValidation type="list" allowBlank="1" showInputMessage="1" showErrorMessage="1" sqref="I17" xr:uid="{068A4DA5-E649-4070-9503-58198C466F62}">
      <formula1>INDIRECT(I16)</formula1>
    </dataValidation>
    <dataValidation type="list" allowBlank="1" showInputMessage="1" showErrorMessage="1" sqref="H11" xr:uid="{C7CA5543-1800-45FE-B208-28C9937AB02E}">
      <formula1>$M$3:$M$5</formula1>
    </dataValidation>
    <dataValidation type="whole" allowBlank="1" showInputMessage="1" showErrorMessage="1" errorTitle="Ввод недопустимого значения" error="Данное значение невозможно применить к расчёту. Обратитесь к андеррайтеру!!!" sqref="D4" xr:uid="{ED4CB2F4-94AC-44C4-B4EB-6D452656D4E5}">
      <formula1>1900</formula1>
      <formula2>2020</formula2>
    </dataValidation>
    <dataValidation type="whole" allowBlank="1" showInputMessage="1" showErrorMessage="1" errorTitle="Ввод недопустимого значения" error="Данное значение невозможно применить к расчёту. Обратитесь к андеррайтеру!!!" sqref="D5" xr:uid="{769CD026-B469-4219-A7A6-2865E512065A}">
      <formula1>1</formula1>
      <formula2>50</formula2>
    </dataValidation>
    <dataValidation type="whole" allowBlank="1" showInputMessage="1" showErrorMessage="1" errorTitle="Ввод недопустимого значения" error="Данное значение нельзя применить к расчёту. Обратитесь к андеррайтеру!!!" sqref="D6" xr:uid="{54E75107-8EE6-401C-B3EE-21A988E903C2}">
      <formula1>1</formula1>
      <formula2>50</formula2>
    </dataValidation>
    <dataValidation type="whole" allowBlank="1" showInputMessage="1" showErrorMessage="1" errorTitle="Ввод недопустимого значения" error="Данное значение нельзя применить к расчёту. Обратитесь к андеррайтеру!!!" sqref="I14" xr:uid="{BA49E448-6346-4796-AAA9-F3CC2A3BE8EA}">
      <formula1>50000</formula1>
      <formula2>300000</formula2>
    </dataValidation>
    <dataValidation type="whole" allowBlank="1" showInputMessage="1" showErrorMessage="1" errorTitle="Ввод недопустимого значения" error="Данное значение нельзя применить к расчёту. Обратитесь к андеррайтеру!!!" sqref="D7" xr:uid="{67924C81-5C07-4393-8B6A-A5A68FCF90BD}">
      <formula1>15</formula1>
      <formula2>400</formula2>
    </dataValidation>
  </dataValidations>
  <pageMargins left="0.7" right="0.7" top="0.75" bottom="0.75" header="0.3" footer="0.3"/>
  <pageSetup paperSize="9" scale="6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5</xdr:col>
                    <xdr:colOff>142875</xdr:colOff>
                    <xdr:row>7</xdr:row>
                    <xdr:rowOff>19050</xdr:rowOff>
                  </from>
                  <to>
                    <xdr:col>13</xdr:col>
                    <xdr:colOff>123825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5</xdr:col>
                    <xdr:colOff>142875</xdr:colOff>
                    <xdr:row>8</xdr:row>
                    <xdr:rowOff>38100</xdr:rowOff>
                  </from>
                  <to>
                    <xdr:col>13</xdr:col>
                    <xdr:colOff>123825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ПечатьСС">
                <anchor moveWithCells="1" sizeWithCells="1">
                  <from>
                    <xdr:col>13</xdr:col>
                    <xdr:colOff>66675</xdr:colOff>
                    <xdr:row>1</xdr:row>
                    <xdr:rowOff>38100</xdr:rowOff>
                  </from>
                  <to>
                    <xdr:col>14</xdr:col>
                    <xdr:colOff>476250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Убрать">
                <anchor moveWithCells="1" sizeWithCells="1">
                  <from>
                    <xdr:col>10</xdr:col>
                    <xdr:colOff>438150</xdr:colOff>
                    <xdr:row>1</xdr:row>
                    <xdr:rowOff>38100</xdr:rowOff>
                  </from>
                  <to>
                    <xdr:col>12</xdr:col>
                    <xdr:colOff>485775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3CB05-07EC-4CB7-A031-C7623FF76AC1}">
  <sheetPr codeName="Лист2">
    <tabColor theme="5" tint="0.59999389629810485"/>
  </sheetPr>
  <dimension ref="A1:AD110"/>
  <sheetViews>
    <sheetView zoomScaleNormal="100" workbookViewId="0">
      <selection activeCell="B37" sqref="B37"/>
    </sheetView>
  </sheetViews>
  <sheetFormatPr defaultRowHeight="15" x14ac:dyDescent="0.25"/>
  <cols>
    <col min="1" max="1" width="6.5703125" customWidth="1"/>
    <col min="2" max="2" width="10.28515625" customWidth="1"/>
    <col min="3" max="3" width="10.140625" bestFit="1" customWidth="1"/>
    <col min="5" max="5" width="10.85546875" customWidth="1"/>
    <col min="6" max="6" width="14.42578125" customWidth="1"/>
    <col min="11" max="11" width="8.5703125" customWidth="1"/>
    <col min="12" max="12" width="9.140625" customWidth="1"/>
    <col min="13" max="13" width="10.42578125" customWidth="1"/>
    <col min="14" max="14" width="7.5703125" customWidth="1"/>
    <col min="16" max="16" width="9.85546875" style="38" customWidth="1"/>
    <col min="17" max="17" width="11.28515625" style="38" customWidth="1"/>
    <col min="18" max="18" width="13.28515625" style="38" customWidth="1"/>
    <col min="19" max="19" width="11.140625" style="38" customWidth="1"/>
    <col min="20" max="20" width="10.85546875" style="38" customWidth="1"/>
    <col min="21" max="21" width="10.42578125" style="1" bestFit="1" customWidth="1"/>
    <col min="22" max="22" width="9.140625" style="1"/>
    <col min="23" max="23" width="10.42578125" style="1" customWidth="1"/>
    <col min="24" max="27" width="9.140625" style="1"/>
  </cols>
  <sheetData>
    <row r="1" spans="1:30" ht="20.25" x14ac:dyDescent="0.4">
      <c r="A1" s="1"/>
      <c r="B1" s="1"/>
      <c r="C1" s="1"/>
      <c r="D1" s="2" t="s">
        <v>0</v>
      </c>
      <c r="E1" s="1"/>
      <c r="F1" s="1"/>
      <c r="G1" s="1"/>
      <c r="H1" s="1"/>
      <c r="I1" s="1"/>
      <c r="J1" s="1"/>
      <c r="K1" s="27" t="s">
        <v>49</v>
      </c>
      <c r="L1" s="1"/>
      <c r="M1" s="1"/>
      <c r="N1" s="1"/>
      <c r="O1" s="38" t="s">
        <v>72</v>
      </c>
      <c r="P1" s="38" t="s">
        <v>57</v>
      </c>
      <c r="Q1" s="38" t="s">
        <v>53</v>
      </c>
      <c r="S1" s="38" t="s">
        <v>9</v>
      </c>
      <c r="U1" s="97">
        <v>250000</v>
      </c>
      <c r="V1" s="38" t="s">
        <v>10</v>
      </c>
      <c r="W1" s="38"/>
      <c r="X1" s="38"/>
      <c r="Y1" s="38"/>
      <c r="Z1" s="38"/>
      <c r="AA1" s="50"/>
      <c r="AB1" s="128"/>
      <c r="AC1" s="128"/>
      <c r="AD1" s="128"/>
    </row>
    <row r="2" spans="1:30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38" t="s">
        <v>73</v>
      </c>
      <c r="P2" s="38" t="s">
        <v>58</v>
      </c>
      <c r="Q2" s="38" t="s">
        <v>210</v>
      </c>
      <c r="R2" s="38">
        <v>1.08</v>
      </c>
      <c r="S2" s="38" t="s">
        <v>10</v>
      </c>
      <c r="U2" s="97">
        <v>500000</v>
      </c>
      <c r="V2" s="97">
        <v>5000</v>
      </c>
      <c r="W2" s="38">
        <v>0.98</v>
      </c>
      <c r="X2" s="38"/>
      <c r="Y2" s="38"/>
      <c r="Z2" s="38"/>
      <c r="AA2" s="50"/>
      <c r="AB2" s="128"/>
      <c r="AC2" s="128"/>
      <c r="AD2" s="128"/>
    </row>
    <row r="3" spans="1:30" x14ac:dyDescent="0.25">
      <c r="A3" s="251"/>
      <c r="B3" s="251"/>
      <c r="C3" s="3" t="s">
        <v>50</v>
      </c>
      <c r="D3" s="95"/>
      <c r="E3" s="95"/>
      <c r="F3" s="95"/>
      <c r="G3" s="95"/>
      <c r="H3" s="95"/>
      <c r="I3" s="1"/>
      <c r="J3" s="1"/>
      <c r="K3" s="1"/>
      <c r="L3" s="1"/>
      <c r="M3" s="1"/>
      <c r="N3" s="1"/>
      <c r="O3" s="38" t="s">
        <v>74</v>
      </c>
      <c r="P3" s="38" t="s">
        <v>59</v>
      </c>
      <c r="Q3" s="38" t="s">
        <v>54</v>
      </c>
      <c r="R3" s="38">
        <v>0.93</v>
      </c>
      <c r="S3" s="38" t="s">
        <v>67</v>
      </c>
      <c r="T3" s="38">
        <v>1.1000000000000001</v>
      </c>
      <c r="U3" s="97">
        <v>750000</v>
      </c>
      <c r="V3" s="97">
        <v>10000</v>
      </c>
      <c r="W3" s="38">
        <v>0.95</v>
      </c>
      <c r="X3" s="38"/>
      <c r="Y3" s="38"/>
      <c r="Z3" s="38"/>
      <c r="AA3" s="50"/>
      <c r="AB3" s="128"/>
      <c r="AC3" s="128"/>
      <c r="AD3" s="128"/>
    </row>
    <row r="4" spans="1:30" x14ac:dyDescent="0.25">
      <c r="A4" s="96"/>
      <c r="B4" s="109"/>
      <c r="C4" s="3" t="s">
        <v>51</v>
      </c>
      <c r="D4" s="95"/>
      <c r="E4" s="95"/>
      <c r="F4" s="95"/>
      <c r="G4" s="95"/>
      <c r="H4" s="95"/>
      <c r="I4" s="1"/>
      <c r="J4" s="1"/>
      <c r="K4" s="1"/>
      <c r="L4" s="1"/>
      <c r="M4" s="1"/>
      <c r="N4" s="1"/>
      <c r="O4" s="38"/>
      <c r="Q4" s="38" t="s">
        <v>55</v>
      </c>
      <c r="R4" s="38">
        <v>0.91</v>
      </c>
      <c r="S4" s="38" t="s">
        <v>68</v>
      </c>
      <c r="T4" s="38">
        <v>1</v>
      </c>
      <c r="U4" s="97">
        <v>1000000</v>
      </c>
      <c r="V4" s="97">
        <v>15000</v>
      </c>
      <c r="W4" s="38">
        <v>0.85</v>
      </c>
      <c r="X4" s="38"/>
      <c r="Y4" s="38"/>
      <c r="Z4" s="38"/>
      <c r="AA4" s="50"/>
      <c r="AB4" s="128"/>
      <c r="AC4" s="128"/>
      <c r="AD4" s="128"/>
    </row>
    <row r="5" spans="1:30" x14ac:dyDescent="0.25">
      <c r="A5" s="96"/>
      <c r="B5" s="104"/>
      <c r="C5" s="3" t="s">
        <v>52</v>
      </c>
      <c r="D5" s="95"/>
      <c r="E5" s="95"/>
      <c r="F5" s="95"/>
      <c r="G5" s="95"/>
      <c r="H5" s="95"/>
      <c r="I5" s="1"/>
      <c r="J5" s="1"/>
      <c r="K5" s="1"/>
      <c r="L5" s="1"/>
      <c r="M5" s="1"/>
      <c r="N5" s="1"/>
      <c r="O5" s="38"/>
      <c r="S5" s="38" t="s">
        <v>199</v>
      </c>
      <c r="T5" s="38">
        <v>0.9</v>
      </c>
      <c r="U5" s="97">
        <v>1250000</v>
      </c>
      <c r="V5" s="97">
        <v>30000</v>
      </c>
      <c r="W5" s="38">
        <v>0.75</v>
      </c>
      <c r="X5" s="38"/>
      <c r="Y5" s="38"/>
      <c r="Z5" s="38"/>
      <c r="AA5" s="50"/>
      <c r="AB5" s="128"/>
      <c r="AC5" s="128"/>
      <c r="AD5" s="128"/>
    </row>
    <row r="6" spans="1:30" x14ac:dyDescent="0.25">
      <c r="A6" s="5"/>
      <c r="B6" s="49"/>
      <c r="C6" s="49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38"/>
      <c r="U6" s="97">
        <v>1500000</v>
      </c>
      <c r="V6" s="38"/>
      <c r="W6" s="38"/>
      <c r="X6" s="38"/>
      <c r="Y6" s="38"/>
      <c r="Z6" s="38"/>
      <c r="AA6" s="50"/>
      <c r="AB6" s="128"/>
      <c r="AC6" s="128"/>
      <c r="AD6" s="128"/>
    </row>
    <row r="7" spans="1:30" x14ac:dyDescent="0.25">
      <c r="A7" s="5"/>
      <c r="B7" s="5"/>
      <c r="C7" s="49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38"/>
      <c r="U7" s="38"/>
      <c r="V7" s="38"/>
      <c r="W7" s="38"/>
      <c r="X7" s="38"/>
      <c r="Y7" s="38"/>
      <c r="Z7" s="38"/>
      <c r="AA7" s="50"/>
      <c r="AB7" s="128"/>
      <c r="AC7" s="128"/>
      <c r="AD7" s="128"/>
    </row>
    <row r="8" spans="1:30" x14ac:dyDescent="0.25">
      <c r="A8" s="5"/>
      <c r="B8" s="49"/>
      <c r="C8" s="49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38"/>
      <c r="U8" s="38" t="s">
        <v>94</v>
      </c>
      <c r="V8" s="38">
        <v>1.07</v>
      </c>
      <c r="W8" s="38" t="s">
        <v>108</v>
      </c>
      <c r="X8" s="38">
        <v>1.2</v>
      </c>
      <c r="Y8" s="38"/>
      <c r="Z8" s="38"/>
      <c r="AA8" s="50"/>
    </row>
    <row r="9" spans="1:30" x14ac:dyDescent="0.25">
      <c r="A9" s="5"/>
      <c r="B9" s="49"/>
      <c r="C9" s="49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38"/>
      <c r="U9" s="38" t="s">
        <v>95</v>
      </c>
      <c r="V9" s="38">
        <v>1.04</v>
      </c>
      <c r="W9" s="38" t="s">
        <v>109</v>
      </c>
      <c r="X9" s="38">
        <v>1.1000000000000001</v>
      </c>
      <c r="Y9" s="38"/>
      <c r="Z9" s="38"/>
      <c r="AA9" s="50"/>
    </row>
    <row r="10" spans="1:30" x14ac:dyDescent="0.25">
      <c r="A10" s="5"/>
      <c r="B10" s="49"/>
      <c r="C10" s="49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38"/>
      <c r="U10" s="38" t="s">
        <v>96</v>
      </c>
      <c r="V10" s="38">
        <v>1.01</v>
      </c>
      <c r="W10" s="38" t="s">
        <v>110</v>
      </c>
      <c r="X10" s="38">
        <v>0.95</v>
      </c>
      <c r="Y10" s="38"/>
      <c r="Z10" s="38"/>
      <c r="AA10" s="50"/>
    </row>
    <row r="11" spans="1:30" x14ac:dyDescent="0.25">
      <c r="A11" s="5"/>
      <c r="B11" s="49"/>
      <c r="C11" s="49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38"/>
      <c r="U11" s="38" t="s">
        <v>97</v>
      </c>
      <c r="V11" s="38">
        <v>0.97</v>
      </c>
      <c r="W11" s="38" t="s">
        <v>111</v>
      </c>
      <c r="X11" s="38">
        <v>0.9</v>
      </c>
      <c r="Y11" s="38"/>
      <c r="Z11" s="38"/>
      <c r="AA11" s="50"/>
    </row>
    <row r="12" spans="1:30" x14ac:dyDescent="0.25">
      <c r="A12" s="5"/>
      <c r="B12" s="49"/>
      <c r="C12" s="49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38"/>
      <c r="U12" s="38" t="s">
        <v>98</v>
      </c>
      <c r="V12" s="38">
        <v>0.95</v>
      </c>
      <c r="W12" s="38" t="s">
        <v>112</v>
      </c>
      <c r="X12" s="38">
        <v>0.8</v>
      </c>
      <c r="Y12" s="38"/>
      <c r="Z12" s="38"/>
      <c r="AA12" s="50"/>
    </row>
    <row r="13" spans="1:30" x14ac:dyDescent="0.25">
      <c r="A13" s="5"/>
      <c r="B13" s="49"/>
      <c r="C13" s="49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38"/>
      <c r="U13" s="38"/>
      <c r="V13" s="38"/>
      <c r="W13" s="38"/>
      <c r="X13" s="38"/>
      <c r="Y13" s="38"/>
      <c r="Z13" s="38"/>
      <c r="AA13" s="38"/>
    </row>
    <row r="14" spans="1:30" hidden="1" x14ac:dyDescent="0.25">
      <c r="A14" s="5"/>
      <c r="B14" s="49"/>
      <c r="C14" s="49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U14" s="38" t="s">
        <v>123</v>
      </c>
      <c r="V14" s="38"/>
      <c r="W14" s="38"/>
      <c r="X14" s="38"/>
      <c r="Y14" s="38"/>
      <c r="Z14" s="38"/>
      <c r="AA14" s="38"/>
    </row>
    <row r="15" spans="1:30" hidden="1" x14ac:dyDescent="0.25">
      <c r="A15" s="5"/>
      <c r="B15" s="49"/>
      <c r="C15" s="49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U15" s="38" t="s">
        <v>124</v>
      </c>
      <c r="V15" s="38"/>
      <c r="W15" s="38"/>
      <c r="X15" s="38"/>
      <c r="Y15" s="38"/>
      <c r="Z15" s="38"/>
      <c r="AA15" s="38"/>
    </row>
    <row r="16" spans="1:30" ht="8.25" customHeight="1" x14ac:dyDescent="0.25">
      <c r="A16" s="5"/>
      <c r="B16" s="49"/>
      <c r="C16" s="49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U16" s="38" t="s">
        <v>125</v>
      </c>
      <c r="V16" s="38"/>
      <c r="W16" s="38"/>
      <c r="X16" s="38"/>
      <c r="Y16" s="38"/>
      <c r="Z16" s="38"/>
      <c r="AA16" s="38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Q17" s="240" t="s">
        <v>127</v>
      </c>
      <c r="R17" s="241"/>
      <c r="S17" s="241"/>
      <c r="T17" s="242"/>
      <c r="U17" s="38"/>
      <c r="V17" s="38"/>
      <c r="W17" s="38"/>
      <c r="X17" s="38"/>
      <c r="Y17" s="38"/>
      <c r="Z17" s="38"/>
      <c r="AA17" s="38"/>
    </row>
    <row r="18" spans="1:27" x14ac:dyDescent="0.25">
      <c r="A18" s="1"/>
      <c r="B18" s="104"/>
      <c r="C18" s="49" t="s">
        <v>100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Q18" s="73" t="str">
        <f>IF(B20="Пакет 1","С учётом износа",IF(OR(B20="Пакет 2",B20="Пакет 3"),"Без учёта износа",""))</f>
        <v/>
      </c>
      <c r="R18" s="68"/>
      <c r="S18" s="68"/>
      <c r="T18" s="74"/>
      <c r="U18" s="38" t="s">
        <v>149</v>
      </c>
      <c r="V18" s="38">
        <v>0.75</v>
      </c>
      <c r="W18" s="38" t="s">
        <v>103</v>
      </c>
      <c r="X18" s="38">
        <v>1.2</v>
      </c>
      <c r="Y18" s="38"/>
      <c r="Z18" s="38"/>
      <c r="AA18" s="38"/>
    </row>
    <row r="19" spans="1:27" x14ac:dyDescent="0.25">
      <c r="A19" s="1"/>
      <c r="B19" s="1"/>
      <c r="C19" s="1"/>
      <c r="D19" s="1"/>
      <c r="E19" s="1"/>
      <c r="F19" s="256" t="str">
        <f>IF(B20="Пакет 1",U14,IF(B20="Пакет 2",U15,IF(B20="Пакет 3",U16,"")))</f>
        <v/>
      </c>
      <c r="G19" s="247"/>
      <c r="H19" s="247"/>
      <c r="I19" s="247"/>
      <c r="J19" s="247"/>
      <c r="K19" s="247"/>
      <c r="L19" s="247"/>
      <c r="M19" s="247"/>
      <c r="N19" s="247"/>
      <c r="O19" s="247"/>
      <c r="P19" s="247"/>
      <c r="Q19" s="73" t="str">
        <f>IF(B20="Пакет 3","Страховая сумма неуменьшаемая",IF(OR(B20="Пакет 1",B20="Пакет 2"),"Страховая сумма уменьшаемая",""))</f>
        <v/>
      </c>
      <c r="R19" s="68"/>
      <c r="S19" s="68"/>
      <c r="T19" s="74"/>
      <c r="U19" s="38" t="s">
        <v>150</v>
      </c>
      <c r="V19" s="38">
        <v>1</v>
      </c>
      <c r="W19" s="38" t="s">
        <v>105</v>
      </c>
      <c r="X19" s="38">
        <v>1.05</v>
      </c>
      <c r="Y19" s="38"/>
      <c r="Z19" s="38"/>
      <c r="AA19" s="38"/>
    </row>
    <row r="20" spans="1:27" x14ac:dyDescent="0.25">
      <c r="A20" s="1"/>
      <c r="B20" s="102"/>
      <c r="C20" s="49" t="s">
        <v>56</v>
      </c>
      <c r="D20" s="1"/>
      <c r="E20" s="1"/>
      <c r="F20" s="257"/>
      <c r="G20" s="258"/>
      <c r="H20" s="258"/>
      <c r="I20" s="258"/>
      <c r="J20" s="258"/>
      <c r="K20" s="258"/>
      <c r="L20" s="258"/>
      <c r="M20" s="258"/>
      <c r="N20" s="258"/>
      <c r="O20" s="258"/>
      <c r="P20" s="258"/>
      <c r="Q20" s="73" t="str">
        <f>IF(B20="Пакет 3","Выплата без справок до 30 тысяч рублей",IF(B20="Пакет 2","Выплата без справок до 15 тысяч рублей",""))</f>
        <v/>
      </c>
      <c r="R20" s="68"/>
      <c r="S20" s="68"/>
      <c r="T20" s="74"/>
      <c r="U20" s="38" t="s">
        <v>151</v>
      </c>
      <c r="V20" s="38">
        <v>1.4</v>
      </c>
      <c r="W20" s="38" t="s">
        <v>104</v>
      </c>
      <c r="X20" s="38">
        <v>0.85</v>
      </c>
      <c r="Y20" s="38"/>
      <c r="Z20" s="38"/>
      <c r="AA20" s="38"/>
    </row>
    <row r="21" spans="1:27" x14ac:dyDescent="0.25">
      <c r="A21" s="1"/>
      <c r="B21" s="1"/>
      <c r="C21" s="1"/>
      <c r="D21" s="1"/>
      <c r="E21" s="1"/>
      <c r="F21" s="259"/>
      <c r="G21" s="249"/>
      <c r="H21" s="249"/>
      <c r="I21" s="249"/>
      <c r="J21" s="249"/>
      <c r="K21" s="249"/>
      <c r="L21" s="249"/>
      <c r="M21" s="249"/>
      <c r="N21" s="249"/>
      <c r="O21" s="249"/>
      <c r="P21" s="249"/>
      <c r="Q21" s="75"/>
      <c r="R21" s="67"/>
      <c r="S21" s="67"/>
      <c r="T21" s="76"/>
      <c r="U21" s="38" t="s">
        <v>154</v>
      </c>
      <c r="V21" s="38">
        <v>1.8</v>
      </c>
      <c r="W21" s="38" t="s">
        <v>106</v>
      </c>
      <c r="X21" s="38">
        <v>0.75</v>
      </c>
      <c r="Y21" s="38"/>
      <c r="Z21" s="38"/>
      <c r="AA21" s="38"/>
    </row>
    <row r="22" spans="1:27" x14ac:dyDescent="0.25">
      <c r="A22" s="1"/>
      <c r="B22" s="14"/>
      <c r="C22" s="14"/>
      <c r="D22" s="14"/>
      <c r="E22" s="14"/>
      <c r="F22" s="14"/>
      <c r="G22" s="14"/>
      <c r="H22" s="14"/>
      <c r="I22" s="14"/>
      <c r="J22" s="14"/>
      <c r="K22" s="261" t="s">
        <v>45</v>
      </c>
      <c r="L22" s="267"/>
      <c r="M22" s="71" t="s">
        <v>64</v>
      </c>
      <c r="N22" s="59" t="s">
        <v>66</v>
      </c>
      <c r="O22" s="261" t="s">
        <v>65</v>
      </c>
      <c r="P22" s="262"/>
      <c r="Q22" s="53"/>
      <c r="R22" s="61"/>
      <c r="U22" s="38" t="s">
        <v>152</v>
      </c>
      <c r="V22" s="38">
        <v>2.2000000000000002</v>
      </c>
      <c r="W22" s="38"/>
      <c r="X22" s="38"/>
      <c r="Y22" s="38"/>
      <c r="Z22" s="38"/>
      <c r="AA22" s="38"/>
    </row>
    <row r="23" spans="1:27" x14ac:dyDescent="0.25">
      <c r="A23" s="51"/>
      <c r="B23" s="52" t="s">
        <v>60</v>
      </c>
      <c r="C23" s="14"/>
      <c r="D23" s="14"/>
      <c r="E23" s="14"/>
      <c r="F23" s="14"/>
      <c r="G23" s="14"/>
      <c r="H23" s="14"/>
      <c r="I23" s="14"/>
      <c r="J23" s="57"/>
      <c r="K23" s="252"/>
      <c r="L23" s="253"/>
      <c r="M23" s="107"/>
      <c r="N23" s="62"/>
      <c r="O23" s="263" t="str">
        <f>IF(AND(K23&gt;0,B24=1),K23*Z49,"")</f>
        <v/>
      </c>
      <c r="P23" s="264"/>
      <c r="Q23" s="110"/>
      <c r="R23" s="61"/>
      <c r="U23" s="38" t="s">
        <v>153</v>
      </c>
      <c r="V23" s="38">
        <v>2.5</v>
      </c>
      <c r="W23" s="38"/>
      <c r="X23" s="38"/>
      <c r="Y23" s="38"/>
      <c r="Z23" s="38"/>
      <c r="AA23" s="38"/>
    </row>
    <row r="24" spans="1:27" x14ac:dyDescent="0.25">
      <c r="A24" s="1"/>
      <c r="B24" s="108">
        <v>2</v>
      </c>
      <c r="C24" s="1"/>
      <c r="D24" s="1"/>
      <c r="E24" s="1"/>
      <c r="F24" s="1"/>
      <c r="G24" s="1"/>
      <c r="H24" s="1"/>
      <c r="I24" s="1"/>
      <c r="J24" s="1"/>
      <c r="K24" s="64"/>
      <c r="L24" s="64"/>
      <c r="M24" s="63"/>
      <c r="N24" s="6"/>
      <c r="O24" s="66"/>
      <c r="P24" s="66"/>
      <c r="U24" s="38"/>
      <c r="V24" s="38"/>
      <c r="W24" s="38"/>
      <c r="X24" s="38"/>
      <c r="Y24" s="38"/>
      <c r="Z24" s="38"/>
      <c r="AA24" s="38"/>
    </row>
    <row r="25" spans="1:27" x14ac:dyDescent="0.25">
      <c r="A25" s="1"/>
      <c r="B25" s="56" t="s">
        <v>61</v>
      </c>
      <c r="C25" s="20"/>
      <c r="D25" s="20"/>
      <c r="E25" s="20"/>
      <c r="F25" s="20"/>
      <c r="G25" s="20"/>
      <c r="H25" s="20"/>
      <c r="I25" s="20"/>
      <c r="J25" s="20"/>
      <c r="K25" s="252"/>
      <c r="L25" s="253"/>
      <c r="M25" s="107"/>
      <c r="N25" s="62"/>
      <c r="O25" s="263" t="str">
        <f>IF(AND(K25&gt;0,B24=2),K25*Z50,"")</f>
        <v/>
      </c>
      <c r="P25" s="264"/>
      <c r="U25" s="38"/>
      <c r="V25" s="38"/>
      <c r="W25" s="38"/>
      <c r="X25" s="38"/>
      <c r="Y25" s="38"/>
      <c r="Z25" s="38"/>
      <c r="AA25" s="38"/>
    </row>
    <row r="26" spans="1:27" x14ac:dyDescent="0.25">
      <c r="A26" s="1"/>
      <c r="B26" s="55" t="s">
        <v>222</v>
      </c>
      <c r="C26" s="14"/>
      <c r="D26" s="14"/>
      <c r="E26" s="14"/>
      <c r="F26" s="14"/>
      <c r="G26" s="14"/>
      <c r="H26" s="14"/>
      <c r="I26" s="14"/>
      <c r="J26" s="14"/>
      <c r="K26" s="252"/>
      <c r="L26" s="253"/>
      <c r="M26" s="107"/>
      <c r="N26" s="62"/>
      <c r="O26" s="263" t="str">
        <f>IF(AND(K26&gt;0,B24=2),K26*Z51,"")</f>
        <v/>
      </c>
      <c r="P26" s="264"/>
      <c r="Q26" s="50"/>
      <c r="R26" s="50"/>
      <c r="S26" s="50"/>
      <c r="T26" s="50"/>
      <c r="U26" s="38"/>
      <c r="V26" s="38"/>
      <c r="W26" s="38"/>
      <c r="X26" s="38"/>
      <c r="Y26" s="38"/>
      <c r="Z26" s="38"/>
      <c r="AA26" s="38"/>
    </row>
    <row r="27" spans="1:27" x14ac:dyDescent="0.25">
      <c r="A27" s="1"/>
      <c r="B27" s="3"/>
      <c r="C27" s="1"/>
      <c r="D27" s="1"/>
      <c r="E27" s="1"/>
      <c r="F27" s="1"/>
      <c r="G27" s="1"/>
      <c r="H27" s="1"/>
      <c r="I27" s="1"/>
      <c r="J27" s="1"/>
      <c r="K27" s="64"/>
      <c r="L27" s="64"/>
      <c r="M27" s="63"/>
      <c r="N27" s="6"/>
      <c r="O27" s="66"/>
      <c r="P27" s="66"/>
      <c r="Q27" s="50"/>
      <c r="R27" s="50"/>
      <c r="S27" s="50"/>
      <c r="T27" s="50"/>
      <c r="U27" s="38"/>
      <c r="V27" s="38"/>
      <c r="W27" s="38"/>
      <c r="X27" s="38"/>
      <c r="Y27" s="38"/>
      <c r="Z27" s="38"/>
      <c r="AA27" s="38"/>
    </row>
    <row r="28" spans="1:27" x14ac:dyDescent="0.25">
      <c r="A28" s="1"/>
      <c r="B28" s="54" t="s">
        <v>62</v>
      </c>
      <c r="C28" s="10"/>
      <c r="D28" s="10"/>
      <c r="E28" s="60" t="s">
        <v>69</v>
      </c>
      <c r="F28" s="105"/>
      <c r="G28" s="10"/>
      <c r="H28" s="10"/>
      <c r="I28" s="10"/>
      <c r="J28" s="58"/>
      <c r="K28" s="254"/>
      <c r="L28" s="255"/>
      <c r="M28" s="106"/>
      <c r="N28" s="62"/>
      <c r="O28" s="263" t="str">
        <f>IF(K28&gt;0,K28*Z52,"")</f>
        <v/>
      </c>
      <c r="P28" s="264"/>
      <c r="Q28" s="50"/>
      <c r="R28" s="50"/>
      <c r="S28" s="50"/>
      <c r="T28" s="50"/>
      <c r="U28" s="38"/>
      <c r="V28" s="38"/>
      <c r="W28" s="38"/>
      <c r="X28" s="38"/>
      <c r="Y28" s="38"/>
      <c r="Z28" s="38"/>
      <c r="AA28" s="38"/>
    </row>
    <row r="29" spans="1:27" x14ac:dyDescent="0.25">
      <c r="A29" s="1"/>
      <c r="B29" s="56" t="s">
        <v>63</v>
      </c>
      <c r="C29" s="20"/>
      <c r="D29" s="20"/>
      <c r="E29" s="20"/>
      <c r="F29" s="20"/>
      <c r="G29" s="20"/>
      <c r="H29" s="20"/>
      <c r="I29" s="20"/>
      <c r="J29" s="57"/>
      <c r="K29" s="252"/>
      <c r="L29" s="253"/>
      <c r="M29" s="107"/>
      <c r="N29" s="62"/>
      <c r="O29" s="263" t="str">
        <f>IF(K29&gt;0,K29*Z53,"")</f>
        <v/>
      </c>
      <c r="P29" s="264"/>
      <c r="Q29" s="50"/>
      <c r="R29" s="50"/>
      <c r="S29" s="50"/>
      <c r="T29" s="50"/>
      <c r="U29" s="38"/>
      <c r="V29" s="38"/>
      <c r="W29" s="38"/>
      <c r="X29" s="38"/>
      <c r="Y29" s="38"/>
      <c r="Z29" s="38"/>
      <c r="AA29" s="38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268">
        <f>SUM(K23:L29)</f>
        <v>0</v>
      </c>
      <c r="L30" s="269"/>
      <c r="M30" s="65"/>
      <c r="N30" s="1"/>
      <c r="O30" s="270" t="str">
        <f>IF(SUM(O23:P29)&gt;0,SUM(O23:P29),"")</f>
        <v/>
      </c>
      <c r="P30" s="271"/>
      <c r="Q30" s="50"/>
      <c r="R30" s="50"/>
      <c r="S30" s="50"/>
      <c r="T30" s="50"/>
      <c r="U30" s="38" t="s">
        <v>135</v>
      </c>
      <c r="V30" s="38"/>
      <c r="W30" s="38"/>
      <c r="X30" s="38"/>
      <c r="Y30" s="38"/>
      <c r="Z30" s="38"/>
      <c r="AA30" s="38"/>
    </row>
    <row r="31" spans="1:27" x14ac:dyDescent="0.25">
      <c r="A31" s="1"/>
      <c r="B31" s="104"/>
      <c r="C31" s="70" t="s">
        <v>70</v>
      </c>
      <c r="D31" s="20"/>
      <c r="E31" s="20"/>
      <c r="F31" s="20"/>
      <c r="G31" s="20"/>
      <c r="H31" s="20"/>
      <c r="I31" s="247" t="str">
        <f>IF(AND(B31="Да",U54=FALSE),U31,IF(AND(B31="Да",U54=TRUE),U33,IF(OR(B31="ДА",A34&lt;25000000),U30,"")))</f>
        <v>Без страхования гражданской ответственности</v>
      </c>
      <c r="J31" s="247"/>
      <c r="K31" s="247"/>
      <c r="L31" s="247"/>
      <c r="M31" s="247"/>
      <c r="N31" s="247"/>
      <c r="O31" s="247"/>
      <c r="P31" s="247"/>
      <c r="Q31" s="247"/>
      <c r="R31" s="248"/>
      <c r="S31" s="126"/>
      <c r="T31" s="127"/>
      <c r="U31" s="38" t="s">
        <v>134</v>
      </c>
      <c r="V31" s="38"/>
      <c r="W31" s="38"/>
      <c r="X31" s="38"/>
      <c r="Y31" s="38"/>
      <c r="Z31" s="38"/>
      <c r="AA31" s="38"/>
    </row>
    <row r="32" spans="1:27" x14ac:dyDescent="0.25">
      <c r="A32" s="1"/>
      <c r="B32" s="81"/>
      <c r="C32" s="14"/>
      <c r="D32" s="14"/>
      <c r="E32" s="14"/>
      <c r="F32" s="14"/>
      <c r="G32" s="14"/>
      <c r="H32" s="57"/>
      <c r="I32" s="249"/>
      <c r="J32" s="249"/>
      <c r="K32" s="249"/>
      <c r="L32" s="249"/>
      <c r="M32" s="249"/>
      <c r="N32" s="249"/>
      <c r="O32" s="249"/>
      <c r="P32" s="249"/>
      <c r="Q32" s="249"/>
      <c r="R32" s="250"/>
      <c r="S32" s="127"/>
      <c r="T32" s="127"/>
      <c r="U32" s="38"/>
      <c r="V32" s="38"/>
      <c r="W32" s="38"/>
      <c r="X32" s="38"/>
      <c r="Y32" s="38"/>
      <c r="Z32" s="38"/>
      <c r="AA32" s="38"/>
    </row>
    <row r="33" spans="1:27" x14ac:dyDescent="0.25">
      <c r="A33" s="1"/>
      <c r="B33" s="103"/>
      <c r="C33" s="81" t="s">
        <v>71</v>
      </c>
      <c r="D33" s="14"/>
      <c r="E33" s="14"/>
      <c r="F33" s="14"/>
      <c r="G33" s="14"/>
      <c r="H33" s="14"/>
      <c r="I33" s="67" t="str">
        <f>IF(B33="Вариант 1","Собственники помещения",IF(B33="Вариант 2","Собственники и наниматели",IF(B33="Вариант 3","Собственники, наниматели, персонал","")))</f>
        <v/>
      </c>
      <c r="J33" s="14"/>
      <c r="K33" s="14"/>
      <c r="L33" s="14"/>
      <c r="M33" s="14"/>
      <c r="N33" s="14"/>
      <c r="O33" s="14"/>
      <c r="P33" s="72"/>
      <c r="Q33" s="72"/>
      <c r="R33" s="69"/>
      <c r="S33" s="50"/>
      <c r="T33" s="50"/>
      <c r="U33" s="38" t="s">
        <v>137</v>
      </c>
      <c r="V33" s="38"/>
      <c r="W33" s="38"/>
      <c r="X33" s="38"/>
      <c r="Y33" s="38"/>
      <c r="Z33" s="38"/>
      <c r="AA33" s="38"/>
    </row>
    <row r="34" spans="1:27" x14ac:dyDescent="0.25">
      <c r="A34" s="260"/>
      <c r="B34" s="260"/>
      <c r="C34" s="49" t="s">
        <v>45</v>
      </c>
      <c r="D34" s="1"/>
      <c r="E34" s="1"/>
      <c r="F34" s="1"/>
      <c r="G34" s="1"/>
      <c r="H34" s="1"/>
      <c r="I34" s="1"/>
      <c r="J34" s="1"/>
      <c r="K34" s="1"/>
      <c r="L34" s="265" t="s">
        <v>65</v>
      </c>
      <c r="M34" s="265"/>
      <c r="N34" s="266"/>
      <c r="O34" s="263">
        <f>IF(OR(B31="нет",B31=""),0,IF(AND(A34&gt;0,A34&lt;=500000),H56*A34,IF(AND(A34&gt;500000,A34&lt;=1000000),H57*A34,IF(AND(A34&gt;1000000,A34&lt;=1500000),H58*A34,0))))</f>
        <v>0</v>
      </c>
      <c r="P34" s="264"/>
      <c r="Q34" s="50"/>
      <c r="R34" s="50"/>
      <c r="S34" s="50"/>
      <c r="T34" s="50"/>
      <c r="U34" s="38"/>
      <c r="V34" s="38"/>
      <c r="W34" s="38"/>
      <c r="X34" s="38"/>
      <c r="Y34" s="38"/>
      <c r="Z34" s="38"/>
      <c r="AA34" s="38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Q35" s="50"/>
      <c r="R35" s="50"/>
      <c r="S35" s="50"/>
      <c r="T35" s="50"/>
      <c r="U35" s="38"/>
      <c r="V35" s="38"/>
      <c r="W35" s="38"/>
      <c r="X35" s="38"/>
      <c r="Y35" s="38"/>
      <c r="Z35" s="38"/>
      <c r="AA35" s="38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Q36" s="50"/>
      <c r="R36" s="50"/>
      <c r="S36" s="50"/>
      <c r="T36" s="50"/>
      <c r="U36" s="38"/>
      <c r="V36" s="38"/>
      <c r="W36" s="38"/>
      <c r="X36" s="38"/>
      <c r="Y36" s="38"/>
      <c r="Z36" s="38"/>
      <c r="AA36" s="38"/>
    </row>
    <row r="37" spans="1:27" x14ac:dyDescent="0.25">
      <c r="A37" s="1"/>
      <c r="B37" s="102"/>
      <c r="C37" s="49" t="s">
        <v>126</v>
      </c>
      <c r="D37" s="1"/>
      <c r="E37" s="1"/>
      <c r="F37" s="1"/>
      <c r="G37" s="79" t="str">
        <f>IF(OR(B20="Пакет 1",B37=""),U37,IF(AND(B20="Пакет 2",B37="Пакет 1"),U38,IF(AND(B20="Пакет 2",B37="Пакет 2"),U39,IF(AND(B20="Пакет 3",B37="Пакет 1"),U38,IF(AND(B20="Пакет 3",B37="Пакет 2"),U39,"")))))</f>
        <v>Непредвиденные расходы не застрахованы</v>
      </c>
      <c r="H37" s="80"/>
      <c r="I37" s="80"/>
      <c r="J37" s="80"/>
      <c r="K37" s="80"/>
      <c r="L37" s="80"/>
      <c r="M37" s="80"/>
      <c r="N37" s="80"/>
      <c r="O37" s="80"/>
      <c r="P37" s="69"/>
      <c r="Q37" s="50"/>
      <c r="R37" s="50"/>
      <c r="S37" s="50"/>
      <c r="T37" s="50"/>
      <c r="U37" s="38" t="s">
        <v>131</v>
      </c>
      <c r="V37" s="38"/>
      <c r="W37" s="38"/>
      <c r="X37" s="38"/>
      <c r="Y37" s="38"/>
      <c r="Z37" s="38"/>
      <c r="AA37" s="38"/>
    </row>
    <row r="38" spans="1:27" x14ac:dyDescent="0.25">
      <c r="A38" s="1"/>
      <c r="B38" s="129">
        <f>IF(OR(B20="Пакет 1",B20=""),0,IF(B37="Пакет 1",50000,IF(B37="Пакет 2",100000,0)))</f>
        <v>0</v>
      </c>
      <c r="C38" s="49" t="s">
        <v>45</v>
      </c>
      <c r="D38" s="1"/>
      <c r="E38" s="1"/>
      <c r="F38" s="1"/>
      <c r="G38" s="78"/>
      <c r="H38" s="78"/>
      <c r="I38" s="78"/>
      <c r="J38" s="78"/>
      <c r="K38" s="78"/>
      <c r="L38" s="78"/>
      <c r="M38" s="78"/>
      <c r="N38" s="78"/>
      <c r="O38" s="78"/>
      <c r="Q38" s="50"/>
      <c r="R38" s="50"/>
      <c r="S38" s="50"/>
      <c r="T38" s="50"/>
      <c r="U38" s="38" t="s">
        <v>133</v>
      </c>
      <c r="V38" s="38"/>
      <c r="W38" s="38"/>
      <c r="X38" s="38"/>
      <c r="Y38" s="38"/>
      <c r="Z38" s="38"/>
      <c r="AA38" s="38"/>
    </row>
    <row r="39" spans="1:27" x14ac:dyDescent="0.25">
      <c r="A39" s="1"/>
      <c r="B39" s="77">
        <f>IF(B20="Пакет 1",0,IF(AND(B20="Пакет 2",B37="Пакет 1"),E46,IF(AND(B20="Пакет 2",B37="Пакет 2"),E47,IF(AND(B20="Пакет 3",B37="Пакет 1"),F46,IF(AND(B20="Пакет 3",B37="Пакет 2"),F47,0)))))</f>
        <v>0</v>
      </c>
      <c r="C39" s="49" t="s">
        <v>65</v>
      </c>
      <c r="D39" s="1"/>
      <c r="E39" s="1"/>
      <c r="F39" s="1"/>
      <c r="G39" s="78"/>
      <c r="H39" s="78"/>
      <c r="I39" s="78"/>
      <c r="J39" s="78"/>
      <c r="K39" s="78"/>
      <c r="L39" s="78"/>
      <c r="M39" s="78"/>
      <c r="N39" s="78"/>
      <c r="O39" s="78"/>
      <c r="U39" s="38" t="s">
        <v>132</v>
      </c>
      <c r="V39" s="38"/>
      <c r="W39" s="38"/>
      <c r="X39" s="38"/>
      <c r="Y39" s="38"/>
      <c r="Z39" s="38"/>
      <c r="AA39" s="38"/>
    </row>
    <row r="40" spans="1:27" x14ac:dyDescent="0.25">
      <c r="A40" s="1"/>
      <c r="B40" s="49"/>
      <c r="C40" s="49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U40" s="38"/>
      <c r="V40" s="38"/>
      <c r="W40" s="38"/>
    </row>
    <row r="41" spans="1:27" ht="19.5" x14ac:dyDescent="0.4">
      <c r="A41" s="1"/>
      <c r="B41" s="100"/>
      <c r="C41" s="100"/>
      <c r="D41" s="50"/>
      <c r="E41" s="50"/>
      <c r="F41" s="50"/>
      <c r="G41" s="50"/>
      <c r="H41" s="50"/>
      <c r="I41" s="1"/>
      <c r="J41" s="1"/>
      <c r="K41" s="243" t="s">
        <v>136</v>
      </c>
      <c r="L41" s="243"/>
      <c r="M41" s="243"/>
      <c r="N41" s="244"/>
      <c r="O41" s="245" t="str">
        <f>IF(V41&gt;0,V41,"")</f>
        <v/>
      </c>
      <c r="P41" s="246"/>
      <c r="Q41" s="82" t="s">
        <v>19</v>
      </c>
      <c r="R41" s="1"/>
      <c r="S41" s="98" t="str">
        <f>IF(O30&gt;0,O30,0)</f>
        <v/>
      </c>
      <c r="T41" s="98">
        <f>IF(O34&gt;0,O34,0)</f>
        <v>0</v>
      </c>
      <c r="U41" s="38">
        <f>IF(B39&gt;0,B39,0)</f>
        <v>0</v>
      </c>
      <c r="V41" s="98">
        <f>SUM(S41:U41)</f>
        <v>0</v>
      </c>
      <c r="W41" s="38"/>
    </row>
    <row r="42" spans="1:27" x14ac:dyDescent="0.25">
      <c r="A42" s="1"/>
      <c r="B42" s="49"/>
      <c r="C42" s="49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  <c r="S42" s="101"/>
      <c r="T42" s="101"/>
      <c r="U42" s="101"/>
      <c r="V42" s="38"/>
      <c r="W42" s="38"/>
    </row>
    <row r="43" spans="1:27" x14ac:dyDescent="0.25">
      <c r="A43" s="50"/>
      <c r="B43" s="100"/>
      <c r="C43" s="10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101"/>
      <c r="T43" s="101"/>
      <c r="U43" s="101"/>
      <c r="V43" s="38"/>
      <c r="W43" s="38"/>
      <c r="X43" s="38"/>
      <c r="Y43" s="38"/>
      <c r="Z43" s="38"/>
    </row>
    <row r="44" spans="1:27" x14ac:dyDescent="0.25">
      <c r="A44" s="50"/>
      <c r="B44" s="100"/>
      <c r="C44" s="10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101"/>
      <c r="T44" s="101"/>
      <c r="U44" s="101"/>
      <c r="V44" s="38"/>
      <c r="W44" s="38"/>
      <c r="X44" s="38"/>
      <c r="Y44" s="38"/>
      <c r="Z44" s="38"/>
    </row>
    <row r="45" spans="1:27" x14ac:dyDescent="0.25">
      <c r="A45" s="183"/>
      <c r="B45" s="183"/>
      <c r="C45" s="183"/>
      <c r="D45" s="183" t="s">
        <v>128</v>
      </c>
      <c r="E45" s="183" t="s">
        <v>129</v>
      </c>
      <c r="F45" s="183" t="s">
        <v>130</v>
      </c>
      <c r="G45" s="183"/>
      <c r="H45" s="183"/>
      <c r="I45" s="183"/>
      <c r="J45" s="183"/>
      <c r="K45" s="183"/>
      <c r="L45" s="183"/>
      <c r="M45" s="183"/>
      <c r="N45" s="183"/>
      <c r="O45" s="183"/>
      <c r="P45" s="183"/>
      <c r="Q45" s="183"/>
      <c r="R45" s="183"/>
      <c r="S45" s="183"/>
      <c r="T45" s="183"/>
      <c r="U45" s="183"/>
      <c r="V45" s="183"/>
      <c r="W45" s="183"/>
      <c r="X45" s="183">
        <v>0.85</v>
      </c>
      <c r="Y45" s="183"/>
      <c r="Z45" s="38"/>
    </row>
    <row r="46" spans="1:27" x14ac:dyDescent="0.25">
      <c r="A46" s="183"/>
      <c r="B46" s="183">
        <v>1000</v>
      </c>
      <c r="C46" s="183">
        <v>100</v>
      </c>
      <c r="D46" s="211">
        <f>IF($B$18=$U$18,$V$18,IF($B$18=$U$19,$V$19,IF($B$18=$U$20,$V$20,IF($B$18=$U$21,$V$21,IF($B$18=$U$22,$V$22,IF($B$18=$U$23,$V$23,0))))))</f>
        <v>0</v>
      </c>
      <c r="E46" s="183">
        <f>B46*D46</f>
        <v>0</v>
      </c>
      <c r="F46" s="183">
        <f>C46*D46</f>
        <v>0</v>
      </c>
      <c r="G46" s="183"/>
      <c r="H46" s="212">
        <v>1.1399999999999999</v>
      </c>
      <c r="I46" s="212">
        <v>0.97</v>
      </c>
      <c r="J46" s="212">
        <v>0.89</v>
      </c>
      <c r="K46" s="212">
        <v>1.07</v>
      </c>
      <c r="L46" s="212">
        <v>1.05</v>
      </c>
      <c r="M46" s="212">
        <v>1.3</v>
      </c>
      <c r="N46" s="212">
        <v>0.9</v>
      </c>
      <c r="O46" s="212">
        <v>1.1000000000000001</v>
      </c>
      <c r="P46" s="212"/>
      <c r="Q46" s="212"/>
      <c r="R46" s="183"/>
      <c r="S46" s="183"/>
      <c r="T46" s="183"/>
      <c r="U46" s="211">
        <v>1.1499999999999999</v>
      </c>
      <c r="V46" s="211"/>
      <c r="W46" s="183"/>
      <c r="X46" s="183">
        <v>0.8</v>
      </c>
      <c r="Y46" s="183"/>
      <c r="Z46" s="38"/>
    </row>
    <row r="47" spans="1:27" x14ac:dyDescent="0.25">
      <c r="A47" s="183"/>
      <c r="B47" s="183">
        <v>1500</v>
      </c>
      <c r="C47" s="183">
        <v>200</v>
      </c>
      <c r="D47" s="211">
        <f>IF($B$18=$U$18,$V$18,IF($B$18=$U$19,$V$19,IF($B$18=$U$20,$V$20,IF($B$18=$U$21,$V$21,IF($B$18=$U$22,$V$22,IF($B$18=$U$23,$V$23,0))))))</f>
        <v>0</v>
      </c>
      <c r="E47" s="183">
        <f>B47*D47</f>
        <v>0</v>
      </c>
      <c r="F47" s="183">
        <f>C47*D47</f>
        <v>0</v>
      </c>
      <c r="G47" s="183"/>
      <c r="H47" s="212">
        <v>1.08</v>
      </c>
      <c r="I47" s="212">
        <v>0.91</v>
      </c>
      <c r="J47" s="212">
        <v>0.93</v>
      </c>
      <c r="K47" s="212">
        <v>1</v>
      </c>
      <c r="L47" s="212">
        <v>1.03</v>
      </c>
      <c r="M47" s="212">
        <v>1.3</v>
      </c>
      <c r="N47" s="212">
        <v>0.9</v>
      </c>
      <c r="O47" s="212">
        <v>1.1499999999999999</v>
      </c>
      <c r="P47" s="212"/>
      <c r="Q47" s="212"/>
      <c r="R47" s="183"/>
      <c r="S47" s="183"/>
      <c r="T47" s="183"/>
      <c r="U47" s="211">
        <v>1.2</v>
      </c>
      <c r="V47" s="211"/>
      <c r="W47" s="183"/>
      <c r="X47" s="183">
        <v>0.75</v>
      </c>
      <c r="Y47" s="183"/>
      <c r="Z47" s="38"/>
    </row>
    <row r="48" spans="1:27" x14ac:dyDescent="0.25">
      <c r="A48" s="183"/>
      <c r="B48" s="183" t="s">
        <v>57</v>
      </c>
      <c r="C48" s="183" t="s">
        <v>58</v>
      </c>
      <c r="D48" s="183" t="s">
        <v>59</v>
      </c>
      <c r="E48" s="183" t="s">
        <v>75</v>
      </c>
      <c r="F48" s="183" t="s">
        <v>82</v>
      </c>
      <c r="G48" s="183" t="s">
        <v>81</v>
      </c>
      <c r="H48" s="212" t="s">
        <v>83</v>
      </c>
      <c r="I48" s="212" t="s">
        <v>84</v>
      </c>
      <c r="J48" s="212" t="s">
        <v>85</v>
      </c>
      <c r="K48" s="212" t="s">
        <v>86</v>
      </c>
      <c r="L48" s="212" t="s">
        <v>87</v>
      </c>
      <c r="M48" s="212" t="s">
        <v>88</v>
      </c>
      <c r="N48" s="212" t="s">
        <v>89</v>
      </c>
      <c r="O48" s="212" t="s">
        <v>90</v>
      </c>
      <c r="P48" s="212" t="s">
        <v>91</v>
      </c>
      <c r="Q48" s="212" t="s">
        <v>66</v>
      </c>
      <c r="R48" s="183" t="s">
        <v>99</v>
      </c>
      <c r="S48" s="183" t="s">
        <v>92</v>
      </c>
      <c r="T48" s="183" t="s">
        <v>101</v>
      </c>
      <c r="U48" s="183" t="s">
        <v>93</v>
      </c>
      <c r="V48" s="183" t="s">
        <v>102</v>
      </c>
      <c r="W48" s="183" t="s">
        <v>107</v>
      </c>
      <c r="X48" s="183" t="s">
        <v>113</v>
      </c>
      <c r="Y48" s="183" t="s">
        <v>114</v>
      </c>
      <c r="Z48" s="38" t="s">
        <v>115</v>
      </c>
    </row>
    <row r="49" spans="1:26" x14ac:dyDescent="0.25">
      <c r="A49" s="183" t="s">
        <v>76</v>
      </c>
      <c r="B49" s="211">
        <v>0.15</v>
      </c>
      <c r="C49" s="211">
        <v>0.17499999999999999</v>
      </c>
      <c r="D49" s="211">
        <v>0.21</v>
      </c>
      <c r="E49" s="211">
        <f>IF($B$20=$B$48,B49,IF($B$20=$C$48,C49,IF($B$20=$D$48,D49,0)))</f>
        <v>0</v>
      </c>
      <c r="F49" s="211">
        <f>IF($A$3=$Q$2,$R$2,IF($A$3=$Q$3,$R$3,IF($A$3=$Q$4,$R$4,1)))</f>
        <v>1</v>
      </c>
      <c r="G49" s="211">
        <f>IF(AND($B$5&gt;1900,$B$5&lt;1950),$V$8,IF(AND($B$5&gt;=1950,$B$5&lt;1980),$V$9,IF(AND($B$5&gt;=1980,$B$5&lt;2000),$V$10,IF(AND($B$5&gt;=2000,$B$5&lt;2015),$V$11,IF($B$5&gt;2015,$V$12,0)))))</f>
        <v>0</v>
      </c>
      <c r="H49" s="211">
        <f>IF($H$54=TRUE,$H$46,IF($B$6=FALSE,1,0))</f>
        <v>1</v>
      </c>
      <c r="I49" s="211">
        <f>IF($I$54=TRUE,$I$46,IF($I$54=FALSE,1,0))</f>
        <v>1</v>
      </c>
      <c r="J49" s="211">
        <f>IF($J$54=TRUE,$J$46,IF($J$54=FALSE,1,0))</f>
        <v>1</v>
      </c>
      <c r="K49" s="211">
        <f>IF($K$54=TRUE,$K$46,IF($K$54=FALSE,1,0))</f>
        <v>1</v>
      </c>
      <c r="L49" s="211">
        <f>IF($L$54=TRUE,$L$46,IF($L$54=FALSE,1,0))</f>
        <v>1</v>
      </c>
      <c r="M49" s="211">
        <f>IF($M$54=TRUE,$M$46,IF($M$54=FALSE,1,0))</f>
        <v>1</v>
      </c>
      <c r="N49" s="211">
        <f>IF($N$54=TRUE,$N$46,IF($N$54=FALSE,1,0))</f>
        <v>1</v>
      </c>
      <c r="O49" s="211">
        <f>IF($O$54=TRUE,$O$46,IF($O$54=FALSE,1,0))</f>
        <v>1</v>
      </c>
      <c r="P49" s="211">
        <f>IF($M$23=$V$1,1,IF($M$23=$V$2,$W$2,IF($M$23=$V$3,$W$3,IF($M$23=$V$4,$W$4,IF($M$23=$V$5,$W$5,1)))))</f>
        <v>1</v>
      </c>
      <c r="Q49" s="211">
        <f>IF(N23&gt;0,N23,1)</f>
        <v>1</v>
      </c>
      <c r="R49" s="211">
        <f>IF($R$54=TRUE,0,IF($R$54=FALSE,1,0))</f>
        <v>1</v>
      </c>
      <c r="S49" s="211">
        <f>IF($B$18=$U$18,$V$18,IF($B$18=$U$19,$V$19,IF($B$18=$U$20,$V$20,IF($B$18=$U$21,$V$21,IF($B$18=$U$22,$V$22,IF($B$18=$U$23,$V$23,0))))))</f>
        <v>0</v>
      </c>
      <c r="T49" s="211">
        <v>1</v>
      </c>
      <c r="U49" s="211">
        <f>IF($U$54=TRUE,$U$46,IF($U$54=FALSE,1,0))</f>
        <v>1</v>
      </c>
      <c r="V49" s="211">
        <f>IF($K$30=0,1,IF(AND($K$30&gt;0,$K$30&lt;1000000),$X$18,IF(AND($K$30&gt;=1000000,$K$30&lt;3000000),$X$19,IF(AND($K$30&gt;=3000000,$K$30&lt;10000000),$X$20,IF($K$30&gt;=10000000,$X$21,"")))))</f>
        <v>1</v>
      </c>
      <c r="W49" s="211">
        <f>IF(AND($B$4&gt;0,$B$4&lt;30),$X$8,IF(AND($B$4&gt;=30,$B$4&lt;50),$X$9,IF(AND($B$4&gt;=50,$B$4&lt;100),$X$10,IF(AND($B$4&gt;=100,$B$4&lt;150),$X$11,IF($B$4&gt;=150,$X$12,0)))))</f>
        <v>0</v>
      </c>
      <c r="X49" s="211">
        <f>IF(AND($X$54=TRUE,$E$49=$B$49),0.85,IF(AND($X$54=TRUE,$E$49=$C$49),0.8,IF(AND($X$54=TRUE,$E$49=$D$49),0.75,1)))</f>
        <v>1</v>
      </c>
      <c r="Y49" s="213">
        <f>E49*F49*G49*H49*I49*J49*K49*L49*M49*N49*O49*P49*Q49*R49*S49*T49*U49*V49*W49*X49</f>
        <v>0</v>
      </c>
      <c r="Z49" s="99">
        <f>Y49/100</f>
        <v>0</v>
      </c>
    </row>
    <row r="50" spans="1:26" x14ac:dyDescent="0.25">
      <c r="A50" s="183" t="s">
        <v>77</v>
      </c>
      <c r="B50" s="211">
        <v>0.11</v>
      </c>
      <c r="C50" s="211">
        <v>0.125</v>
      </c>
      <c r="D50" s="211">
        <v>0.15</v>
      </c>
      <c r="E50" s="211">
        <f>IF($B$20=$B$48,B50,IF($B$20=$C$48,C50,IF($B$20=$D$48,D50,0)))</f>
        <v>0</v>
      </c>
      <c r="F50" s="211">
        <f>IF($A$3=$Q$2,$R$2,IF($A$3=$Q$3,$R$3,IF($A$3=$Q$4,$R$4,1)))</f>
        <v>1</v>
      </c>
      <c r="G50" s="211">
        <f>IF(AND($B$5&gt;1900,$B$5&lt;1950),$V$8,IF(AND($B$5&gt;=1950,$B$5&lt;1980),$V$9,IF(AND($B$5&gt;=1980,$B$5&lt;2000),$V$10,IF(AND($B$5&gt;=2000,$B$5&lt;2015),$V$11,IF($B$5&gt;2015,$V$12,0)))))</f>
        <v>0</v>
      </c>
      <c r="H50" s="211">
        <f t="shared" ref="H50:H51" si="0">IF($H$54=TRUE,$H$46,IF($B$6=FALSE,1,0))</f>
        <v>1</v>
      </c>
      <c r="I50" s="211">
        <f t="shared" ref="I50:I51" si="1">IF($I$54=TRUE,$I$46,IF($I$54=FALSE,1,0))</f>
        <v>1</v>
      </c>
      <c r="J50" s="211">
        <f t="shared" ref="J50:J51" si="2">IF($J$54=TRUE,$J$46,IF($J$54=FALSE,1,0))</f>
        <v>1</v>
      </c>
      <c r="K50" s="211">
        <f t="shared" ref="K50:K51" si="3">IF($K$54=TRUE,$K$46,IF($K$54=FALSE,1,0))</f>
        <v>1</v>
      </c>
      <c r="L50" s="211">
        <f t="shared" ref="L50:L51" si="4">IF($L$54=TRUE,$L$46,IF($L$54=FALSE,1,0))</f>
        <v>1</v>
      </c>
      <c r="M50" s="211">
        <f t="shared" ref="M50:M51" si="5">IF($M$54=TRUE,$M$46,IF($M$54=FALSE,1,0))</f>
        <v>1</v>
      </c>
      <c r="N50" s="211">
        <f t="shared" ref="N50:N51" si="6">IF($N$54=TRUE,$N$46,IF($N$54=FALSE,1,0))</f>
        <v>1</v>
      </c>
      <c r="O50" s="211">
        <f t="shared" ref="O50:O51" si="7">IF($O$54=TRUE,$O$46,IF($O$54=FALSE,1,0))</f>
        <v>1</v>
      </c>
      <c r="P50" s="211">
        <f>IF($M$23=$V$1,1,IF($M$23=$V$2,$W$2,IF($M$23=$V$3,$W$3,IF($M$23=$V$4,$W$4,IF($M$23=$V$5,$W$5,1)))))</f>
        <v>1</v>
      </c>
      <c r="Q50" s="211">
        <f>IF(N25&gt;0,N25,1)</f>
        <v>1</v>
      </c>
      <c r="R50" s="211">
        <f t="shared" ref="R50:R53" si="8">IF($R$54=TRUE,0,IF($R$54=FALSE,1,0))</f>
        <v>1</v>
      </c>
      <c r="S50" s="211">
        <f>IF($B$18=$U$18,$V$18,IF($B$18=$U$19,$V$19,IF($B$18=$U$20,$V$20,IF($B$18=$U$21,$V$21,IF($B$18=$U$22,$V$22,IF($B$18=$U$23,$V$23,0))))))</f>
        <v>0</v>
      </c>
      <c r="T50" s="211">
        <v>1</v>
      </c>
      <c r="U50" s="211">
        <f t="shared" ref="U50:U51" si="9">IF($U$54=TRUE,$U$46,IF($U$54=FALSE,1,0))</f>
        <v>1</v>
      </c>
      <c r="V50" s="211">
        <f>IF($K$30=0,1,IF(AND($K$30&gt;0,$K$30&lt;1000000),$X$18,IF(AND($K$30&gt;=1000000,$K$30&lt;3000000),$X$19,IF(AND($K$30&gt;=3000000,$K$30&lt;10000000),$X$20,IF($K$30&gt;=10000000,$X$21,"")))))</f>
        <v>1</v>
      </c>
      <c r="W50" s="211">
        <f>IF(AND($B$4&gt;0,$B$4&lt;30),$X$8,IF(AND($B$4&gt;=30,$B$4&lt;50),$X$9,IF(AND($B$4&gt;=50,$B$4&lt;100),$X$10,IF(AND($B$4&gt;=100,$B$4&lt;150),$X$11,IF($B$4&gt;=150,$X$12,0)))))</f>
        <v>0</v>
      </c>
      <c r="X50" s="211">
        <f t="shared" ref="X50:X53" si="10">IF(AND($X$54=TRUE,$E$49=$B$49),0.85,IF(AND($X$54=TRUE,$E$49=$C$49),0.8,IF(AND($X$54=TRUE,$E$49=$D$49),0.75,1)))</f>
        <v>1</v>
      </c>
      <c r="Y50" s="213">
        <f>E50*F50*G50*H50*I50*J50*K50*L50*M50*N50*O50*P50*Q50*R50*S50*T50*U50*V50*W50*X50</f>
        <v>0</v>
      </c>
      <c r="Z50" s="99">
        <f t="shared" ref="Z50:Z52" si="11">Y50/100</f>
        <v>0</v>
      </c>
    </row>
    <row r="51" spans="1:26" x14ac:dyDescent="0.25">
      <c r="A51" s="183" t="s">
        <v>78</v>
      </c>
      <c r="B51" s="211">
        <v>0.34</v>
      </c>
      <c r="C51" s="211">
        <v>0.38500000000000001</v>
      </c>
      <c r="D51" s="211">
        <v>0.43</v>
      </c>
      <c r="E51" s="211">
        <f>IF($B$20=$B$48,B51,IF($B$20=$C$48,C51,IF($B$20=$D$48,D51,0)))</f>
        <v>0</v>
      </c>
      <c r="F51" s="211">
        <f>IF($A$3=$Q$2,$R$2,IF($A$3=$Q$3,$R$3,IF($A$3=$Q$4,$R$4,1)))</f>
        <v>1</v>
      </c>
      <c r="G51" s="211">
        <f>IF(AND($B$5&gt;1900,$B$5&lt;1950),$V$8,IF(AND($B$5&gt;=1950,$B$5&lt;1980),$V$9,IF(AND($B$5&gt;=1980,$B$5&lt;2000),$V$10,IF(AND($B$5&gt;=2000,$B$5&lt;2015),$V$11,IF($B$5&gt;2015,$V$12,0)))))</f>
        <v>0</v>
      </c>
      <c r="H51" s="211">
        <f t="shared" si="0"/>
        <v>1</v>
      </c>
      <c r="I51" s="211">
        <f t="shared" si="1"/>
        <v>1</v>
      </c>
      <c r="J51" s="211">
        <f t="shared" si="2"/>
        <v>1</v>
      </c>
      <c r="K51" s="211">
        <f t="shared" si="3"/>
        <v>1</v>
      </c>
      <c r="L51" s="211">
        <f t="shared" si="4"/>
        <v>1</v>
      </c>
      <c r="M51" s="211">
        <f t="shared" si="5"/>
        <v>1</v>
      </c>
      <c r="N51" s="211">
        <f t="shared" si="6"/>
        <v>1</v>
      </c>
      <c r="O51" s="211">
        <f t="shared" si="7"/>
        <v>1</v>
      </c>
      <c r="P51" s="211">
        <f>IF($M$23=$V$1,1,IF($M$23=$V$2,$W$2,IF($M$23=$V$3,$W$3,IF($M$23=$V$4,$W$4,IF($M$23=$V$5,$W$5,1)))))</f>
        <v>1</v>
      </c>
      <c r="Q51" s="211">
        <f>IF(N26&gt;0,N26,1)</f>
        <v>1</v>
      </c>
      <c r="R51" s="211">
        <f t="shared" si="8"/>
        <v>1</v>
      </c>
      <c r="S51" s="211">
        <f>IF($B$18=$U$18,$V$18,IF($B$18=$U$19,$V$19,IF($B$18=$U$20,$V$20,IF($B$18=$U$21,$V$21,IF($B$18=$U$22,$V$22,IF($B$18=$U$23,$V$23,0))))))</f>
        <v>0</v>
      </c>
      <c r="T51" s="211">
        <v>1</v>
      </c>
      <c r="U51" s="211">
        <f t="shared" si="9"/>
        <v>1</v>
      </c>
      <c r="V51" s="211">
        <f>IF($K$30=0,1,IF(AND($K$30&gt;0,$K$30&lt;1000000),$X$18,IF(AND($K$30&gt;=1000000,$K$30&lt;3000000),$X$19,IF(AND($K$30&gt;=3000000,$K$30&lt;10000000),$X$20,IF($K$30&gt;=10000000,$X$21,"")))))</f>
        <v>1</v>
      </c>
      <c r="W51" s="211">
        <f>IF(AND($B$4&gt;0,$B$4&lt;30),$X$8,IF(AND($B$4&gt;=30,$B$4&lt;50),$X$9,IF(AND($B$4&gt;=50,$B$4&lt;100),$X$10,IF(AND($B$4&gt;=100,$B$4&lt;150),$X$11,IF($B$4&gt;=150,$X$12,0)))))</f>
        <v>0</v>
      </c>
      <c r="X51" s="211">
        <f t="shared" si="10"/>
        <v>1</v>
      </c>
      <c r="Y51" s="213">
        <f>E51*F51*G51*H51*I51*J51*K51*L51*M51*N51*O51*P51*Q51*R51*S51*T51*U51*V51*W51*X51</f>
        <v>0</v>
      </c>
      <c r="Z51" s="99">
        <f t="shared" si="11"/>
        <v>0</v>
      </c>
    </row>
    <row r="52" spans="1:26" x14ac:dyDescent="0.25">
      <c r="A52" s="183" t="s">
        <v>79</v>
      </c>
      <c r="B52" s="211">
        <v>0.44</v>
      </c>
      <c r="C52" s="211">
        <v>0.495</v>
      </c>
      <c r="D52" s="211">
        <v>0.51</v>
      </c>
      <c r="E52" s="211">
        <f>IF($B$20=$B$48,B52,IF($B$20=$C$48,C52,IF($B$20=$D$48,D52,0)))</f>
        <v>0</v>
      </c>
      <c r="F52" s="211">
        <v>1</v>
      </c>
      <c r="G52" s="211">
        <v>1</v>
      </c>
      <c r="H52" s="211">
        <f>IF($H$54=TRUE,$H$47,IF($B$6=FALSE,1,0))</f>
        <v>1</v>
      </c>
      <c r="I52" s="211">
        <f>IF($I$54=TRUE,I$47,IF($I$54=FALSE,1,0))</f>
        <v>1</v>
      </c>
      <c r="J52" s="211">
        <f>IF($J$54=TRUE,$J$47,IF($J$54=FALSE,1,0))</f>
        <v>1</v>
      </c>
      <c r="K52" s="211">
        <f>IF($K$54=TRUE,$K$47,IF($K$54=FALSE,1,0))</f>
        <v>1</v>
      </c>
      <c r="L52" s="211">
        <f>IF($L$54=TRUE,$L$47,IF($L$54=FALSE,1,0))</f>
        <v>1</v>
      </c>
      <c r="M52" s="211">
        <f>IF($M$54=TRUE,$M$47,IF($M$54=FALSE,1,0))</f>
        <v>1</v>
      </c>
      <c r="N52" s="211">
        <f>IF($N$54=TRUE,$N$47,IF($N$54=FALSE,1,0))</f>
        <v>1</v>
      </c>
      <c r="O52" s="211">
        <f>IF($O$54=TRUE,$O$47,IF($O$54=FALSE,1,0))</f>
        <v>1</v>
      </c>
      <c r="P52" s="211">
        <f>IF($M$23=$V$1,1,IF($M$23=$V$2,$W$2,IF($M$23=$V$3,$W$3,IF($M$23=$V$4,$W$4,IF($M$23=$V$5,$W$5,1)))))</f>
        <v>1</v>
      </c>
      <c r="Q52" s="211">
        <f>IF(N28&gt;0,N28,1)</f>
        <v>1</v>
      </c>
      <c r="R52" s="211">
        <f t="shared" si="8"/>
        <v>1</v>
      </c>
      <c r="S52" s="211">
        <f>IF($B$18=$U$18,$V$18,IF($B$18=$U$19,$V$19,IF($B$18=$U$20,$V$20,IF($B$18=$U$21,$V$21,IF($B$18=$U$22,$V$22,IF($B$18=$U$23,$V$23,0))))))</f>
        <v>0</v>
      </c>
      <c r="T52" s="211">
        <f>IF(F28=S3,T3,IF(F28=S4,T4,IF(F28=S5,T5,0)))</f>
        <v>0</v>
      </c>
      <c r="U52" s="211">
        <f>IF($U$54=TRUE,$U$47,IF($U$54=FALSE,1,0))</f>
        <v>1</v>
      </c>
      <c r="V52" s="211">
        <f>IF($K$30=0,1,IF(AND($K$30&gt;0,$K$30&lt;1000000),$X$18,IF(AND($K$30&gt;=1000000,$K$30&lt;3000000),$X$19,IF(AND($K$30&gt;=3000000,$K$30&lt;10000000),$X$20,IF($K$30&gt;=10000000,$X$21,"")))))</f>
        <v>1</v>
      </c>
      <c r="W52" s="211">
        <f>IF(AND($B$4&gt;0,$B$4&lt;30),$X$8,IF(AND($B$4&gt;=30,$B$4&lt;50),$X$9,IF(AND($B$4&gt;=50,$B$4&lt;100),$X$10,IF(AND($B$4&gt;=100,$B$4&lt;150),$X$11,IF($B$4&gt;=150,$X$12,0)))))</f>
        <v>0</v>
      </c>
      <c r="X52" s="211">
        <f t="shared" si="10"/>
        <v>1</v>
      </c>
      <c r="Y52" s="213">
        <f>E52*F52*G52*H52*I52*J52*K52*L52*M52*N52*O52*P52*Q52*R52*S52*T52*U52*V52*W52*X52</f>
        <v>0</v>
      </c>
      <c r="Z52" s="99">
        <f t="shared" si="11"/>
        <v>0</v>
      </c>
    </row>
    <row r="53" spans="1:26" x14ac:dyDescent="0.25">
      <c r="A53" s="183" t="s">
        <v>80</v>
      </c>
      <c r="B53" s="211">
        <v>0</v>
      </c>
      <c r="C53" s="211">
        <v>0.65500000000000003</v>
      </c>
      <c r="D53" s="211">
        <v>0.67</v>
      </c>
      <c r="E53" s="211">
        <f>IF($B$20=$B$48,B53,IF($B$20=$C$48,C53,IF($B$20=$D$48,D53,0)))</f>
        <v>0</v>
      </c>
      <c r="F53" s="211">
        <v>1</v>
      </c>
      <c r="G53" s="211">
        <v>1</v>
      </c>
      <c r="H53" s="211">
        <f>IF($H$54=TRUE,$H$47,IF($B$6=FALSE,1,0))</f>
        <v>1</v>
      </c>
      <c r="I53" s="211">
        <f>IF($I$54=TRUE,I$47,IF($I$54=FALSE,1,0))</f>
        <v>1</v>
      </c>
      <c r="J53" s="211">
        <f>IF($J$54=TRUE,$J$47,IF($J$54=FALSE,1,0))</f>
        <v>1</v>
      </c>
      <c r="K53" s="211">
        <f>IF($K$54=TRUE,$K$47,IF($K$54=FALSE,1,0))</f>
        <v>1</v>
      </c>
      <c r="L53" s="211">
        <f>IF($L$54=TRUE,$L$47,IF($L$54=FALSE,1,0))</f>
        <v>1</v>
      </c>
      <c r="M53" s="211">
        <f>IF($M$54=TRUE,$M$47,IF($M$54=FALSE,1,0))</f>
        <v>1</v>
      </c>
      <c r="N53" s="211">
        <f>IF($N$54=TRUE,$N$47,IF($N$54=FALSE,1,0))</f>
        <v>1</v>
      </c>
      <c r="O53" s="211">
        <f>IF($O$54=TRUE,$O$47,IF($O$54=FALSE,1,0))</f>
        <v>1</v>
      </c>
      <c r="P53" s="211">
        <f>IF($M$23=$V$1,1,IF($M$23=$V$2,$W$2,IF($M$23=$V$3,$W$3,IF($M$23=$V$4,$W$4,IF($M$23=$V$5,$W$5,1)))))</f>
        <v>1</v>
      </c>
      <c r="Q53" s="211">
        <f>IF(N29&gt;0,N29,1)</f>
        <v>1</v>
      </c>
      <c r="R53" s="211">
        <f t="shared" si="8"/>
        <v>1</v>
      </c>
      <c r="S53" s="211">
        <f>IF($B$18=$U$18,$V$18,IF($B$18=$U$19,$V$19,IF($B$18=$U$20,$V$20,IF($B$18=$U$21,$V$21,IF($B$18=$U$22,$V$22,IF($B$18=$U$23,$V$23,0))))))</f>
        <v>0</v>
      </c>
      <c r="T53" s="211">
        <v>1</v>
      </c>
      <c r="U53" s="211">
        <f>IF($U$54=TRUE,$U$47,IF($U$54=FALSE,1,0))</f>
        <v>1</v>
      </c>
      <c r="V53" s="211">
        <f>IF($K$30=0,1,IF(AND($K$30&gt;0,$K$30&lt;1000000),$X$18,IF(AND($K$30&gt;=1000000,$K$30&lt;3000000),$X$19,IF(AND($K$30&gt;=3000000,$K$30&lt;10000000),$X$20,IF($K$30&gt;=10000000,$X$21,"")))))</f>
        <v>1</v>
      </c>
      <c r="W53" s="211">
        <f>IF(AND($B$4&gt;0,$B$4&lt;30),$X$8,IF(AND($B$4&gt;=30,$B$4&lt;50),$X$9,IF(AND($B$4&gt;=50,$B$4&lt;100),$X$10,IF(AND($B$4&gt;=100,$B$4&lt;150),$X$11,IF($B$4&gt;=150,$X$12,0)))))</f>
        <v>0</v>
      </c>
      <c r="X53" s="211">
        <f t="shared" si="10"/>
        <v>1</v>
      </c>
      <c r="Y53" s="213">
        <f>E53*F53*G53*H53*I53*J53*K53*L53*M53*N53*O53*P53*Q53*R53*S53*T53*U53*V53*W53*X53</f>
        <v>0</v>
      </c>
      <c r="Z53" s="99">
        <f>Y53/100</f>
        <v>0</v>
      </c>
    </row>
    <row r="54" spans="1:26" x14ac:dyDescent="0.25">
      <c r="A54" s="183"/>
      <c r="B54" s="183"/>
      <c r="C54" s="183"/>
      <c r="D54" s="183"/>
      <c r="E54" s="183"/>
      <c r="F54" s="183"/>
      <c r="G54" s="183"/>
      <c r="H54" s="214" t="b">
        <v>0</v>
      </c>
      <c r="I54" s="214" t="b">
        <v>0</v>
      </c>
      <c r="J54" s="214" t="b">
        <v>0</v>
      </c>
      <c r="K54" s="214" t="b">
        <v>0</v>
      </c>
      <c r="L54" s="214" t="b">
        <v>0</v>
      </c>
      <c r="M54" s="214" t="b">
        <v>0</v>
      </c>
      <c r="N54" s="214" t="b">
        <v>0</v>
      </c>
      <c r="O54" s="214" t="b">
        <v>0</v>
      </c>
      <c r="P54" s="183"/>
      <c r="Q54" s="183"/>
      <c r="R54" s="214" t="b">
        <v>0</v>
      </c>
      <c r="S54" s="183"/>
      <c r="T54" s="183"/>
      <c r="U54" s="214" t="b">
        <v>0</v>
      </c>
      <c r="V54" s="183"/>
      <c r="W54" s="183"/>
      <c r="X54" s="183" t="b">
        <v>0</v>
      </c>
      <c r="Y54" s="183"/>
      <c r="Z54" s="38"/>
    </row>
    <row r="55" spans="1:26" x14ac:dyDescent="0.25">
      <c r="A55" s="183" t="s">
        <v>116</v>
      </c>
      <c r="B55" s="183" t="s">
        <v>75</v>
      </c>
      <c r="C55" s="183" t="s">
        <v>93</v>
      </c>
      <c r="D55" s="183" t="s">
        <v>121</v>
      </c>
      <c r="E55" s="183" t="s">
        <v>120</v>
      </c>
      <c r="F55" s="183" t="s">
        <v>114</v>
      </c>
      <c r="G55" s="183" t="s">
        <v>113</v>
      </c>
      <c r="H55" s="183" t="s">
        <v>122</v>
      </c>
      <c r="I55" s="183"/>
      <c r="J55" s="183"/>
      <c r="K55" s="183"/>
      <c r="L55" s="183"/>
      <c r="M55" s="183"/>
      <c r="N55" s="183"/>
      <c r="O55" s="183"/>
      <c r="P55" s="183"/>
      <c r="Q55" s="183"/>
      <c r="R55" s="183"/>
      <c r="S55" s="183"/>
      <c r="T55" s="183"/>
      <c r="U55" s="183"/>
      <c r="V55" s="183"/>
      <c r="W55" s="183"/>
      <c r="X55" s="183"/>
      <c r="Y55" s="183"/>
      <c r="Z55" s="38"/>
    </row>
    <row r="56" spans="1:26" x14ac:dyDescent="0.25">
      <c r="A56" s="183" t="s">
        <v>117</v>
      </c>
      <c r="B56" s="183">
        <v>0.45</v>
      </c>
      <c r="C56" s="211">
        <f>IF($U$54=TRUE,1.3,1)</f>
        <v>1</v>
      </c>
      <c r="D56" s="211">
        <f>IF($B$33="ВАРИАНТ 1",1, IF($B$33="ВАРИАНТ 2",1.2,IF($B$33="ВАРИАНТ 3",1.3,)))</f>
        <v>0</v>
      </c>
      <c r="E56" s="211">
        <f>IF($B$18=$U$18,$V$18,IF($B$18=$U$19,$V$19,IF($B$18=$U$20,$V$20,IF($B$18=$U$21,$V$21,IF($B$18=$U$22,$V$22,IF($B$18=$U$23,$V$23,0))))))</f>
        <v>0</v>
      </c>
      <c r="F56" s="211">
        <f>B56*C56*D56*G56*E56</f>
        <v>0</v>
      </c>
      <c r="G56" s="211">
        <f>IF($X$54=TRUE,0.7,1)</f>
        <v>1</v>
      </c>
      <c r="H56" s="215">
        <f>F56/100</f>
        <v>0</v>
      </c>
      <c r="I56" s="183"/>
      <c r="J56" s="183"/>
      <c r="K56" s="183"/>
      <c r="L56" s="183"/>
      <c r="M56" s="183"/>
      <c r="N56" s="183"/>
      <c r="O56" s="183"/>
      <c r="P56" s="183"/>
      <c r="Q56" s="183"/>
      <c r="R56" s="183"/>
      <c r="S56" s="183"/>
      <c r="T56" s="183"/>
      <c r="U56" s="183"/>
      <c r="V56" s="183"/>
      <c r="W56" s="183"/>
      <c r="X56" s="183"/>
      <c r="Y56" s="183"/>
      <c r="Z56" s="38"/>
    </row>
    <row r="57" spans="1:26" x14ac:dyDescent="0.25">
      <c r="A57" s="183" t="s">
        <v>118</v>
      </c>
      <c r="B57" s="183">
        <v>0.39</v>
      </c>
      <c r="C57" s="211">
        <f t="shared" ref="C57:C58" si="12">IF($U$54=TRUE,1.3,1)</f>
        <v>1</v>
      </c>
      <c r="D57" s="211">
        <f t="shared" ref="D57:D58" si="13">IF($B$33="ВАРИАНТ 1",1, IF($B$33="ВАРИАНТ 2",1.2,IF($B$33="ВАРИАНТ 3",1.3,)))</f>
        <v>0</v>
      </c>
      <c r="E57" s="211">
        <f>IF($B$18=$U$18,$V$18,IF($B$18=$U$19,$V$19,IF($B$18=$U$20,$V$20,IF($B$18=$U$21,$V$21,IF($B$18=$U$22,$V$22,IF($B$18=$U$23,$V$23,0))))))</f>
        <v>0</v>
      </c>
      <c r="F57" s="211">
        <f t="shared" ref="F57:F58" si="14">B57*C57*D57*G57*E57</f>
        <v>0</v>
      </c>
      <c r="G57" s="211">
        <f t="shared" ref="G57:G58" si="15">IF($X$54=TRUE,0.7,1)</f>
        <v>1</v>
      </c>
      <c r="H57" s="215">
        <f>F57/100</f>
        <v>0</v>
      </c>
      <c r="I57" s="183"/>
      <c r="J57" s="183"/>
      <c r="K57" s="183"/>
      <c r="L57" s="183"/>
      <c r="M57" s="183"/>
      <c r="N57" s="183"/>
      <c r="O57" s="183"/>
      <c r="P57" s="183"/>
      <c r="Q57" s="183"/>
      <c r="R57" s="183"/>
      <c r="S57" s="183"/>
      <c r="T57" s="183"/>
      <c r="U57" s="183"/>
      <c r="V57" s="183"/>
      <c r="W57" s="183"/>
      <c r="X57" s="183"/>
      <c r="Y57" s="183"/>
      <c r="Z57" s="38"/>
    </row>
    <row r="58" spans="1:26" x14ac:dyDescent="0.25">
      <c r="A58" s="183" t="s">
        <v>119</v>
      </c>
      <c r="B58" s="183">
        <v>0.35</v>
      </c>
      <c r="C58" s="211">
        <f t="shared" si="12"/>
        <v>1</v>
      </c>
      <c r="D58" s="211">
        <f t="shared" si="13"/>
        <v>0</v>
      </c>
      <c r="E58" s="211">
        <f>IF($B$18=$U$18,$V$18,IF($B$18=$U$19,$V$19,IF($B$18=$U$20,$V$20,IF($B$18=$U$21,$V$21,IF($B$18=$U$22,$V$22,IF($B$18=$U$23,$V$23,0))))))</f>
        <v>0</v>
      </c>
      <c r="F58" s="211">
        <f t="shared" si="14"/>
        <v>0</v>
      </c>
      <c r="G58" s="211">
        <f t="shared" si="15"/>
        <v>1</v>
      </c>
      <c r="H58" s="215">
        <f>F58/100</f>
        <v>0</v>
      </c>
      <c r="I58" s="183"/>
      <c r="J58" s="183"/>
      <c r="K58" s="183"/>
      <c r="L58" s="183"/>
      <c r="M58" s="183"/>
      <c r="N58" s="183"/>
      <c r="O58" s="183"/>
      <c r="P58" s="183"/>
      <c r="Q58" s="183"/>
      <c r="R58" s="183"/>
      <c r="S58" s="183"/>
      <c r="T58" s="183"/>
      <c r="U58" s="183"/>
      <c r="V58" s="183"/>
      <c r="W58" s="183"/>
      <c r="X58" s="183"/>
      <c r="Y58" s="183"/>
      <c r="Z58" s="38"/>
    </row>
    <row r="59" spans="1:26" x14ac:dyDescent="0.25">
      <c r="A59" s="183"/>
      <c r="B59" s="183"/>
      <c r="C59" s="183"/>
      <c r="D59" s="183"/>
      <c r="E59" s="183"/>
      <c r="F59" s="183"/>
      <c r="G59" s="183"/>
      <c r="H59" s="183"/>
      <c r="I59" s="183"/>
      <c r="J59" s="183"/>
      <c r="K59" s="183"/>
      <c r="L59" s="183"/>
      <c r="M59" s="183"/>
      <c r="N59" s="183"/>
      <c r="O59" s="183"/>
      <c r="P59" s="183"/>
      <c r="Q59" s="183"/>
      <c r="R59" s="183"/>
      <c r="S59" s="183"/>
      <c r="T59" s="183"/>
      <c r="U59" s="183"/>
      <c r="V59" s="183"/>
      <c r="W59" s="183"/>
      <c r="X59" s="183"/>
      <c r="Y59" s="183"/>
      <c r="Z59" s="38"/>
    </row>
    <row r="60" spans="1:26" x14ac:dyDescent="0.25">
      <c r="A60" s="50"/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U60" s="38"/>
      <c r="V60" s="38"/>
      <c r="W60" s="38"/>
      <c r="X60" s="38"/>
      <c r="Y60" s="38"/>
      <c r="Z60" s="38"/>
    </row>
    <row r="61" spans="1:26" x14ac:dyDescent="0.25">
      <c r="A61" s="50"/>
      <c r="B61" s="50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</row>
    <row r="62" spans="1:26" x14ac:dyDescent="0.25">
      <c r="A62" s="50"/>
      <c r="B62" s="50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</row>
    <row r="63" spans="1:26" x14ac:dyDescent="0.25">
      <c r="A63" s="50"/>
      <c r="B63" s="50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</row>
    <row r="64" spans="1:2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spans="1:15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spans="1:15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1:15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spans="1:15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spans="1:15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spans="1:15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spans="1:15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spans="1:15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spans="1:15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spans="1:15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spans="1:15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spans="1:15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spans="1:15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spans="1:15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spans="1:15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spans="1:15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spans="1:15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spans="1:15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spans="1:15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spans="1:15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spans="1:15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spans="1:15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spans="1:15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spans="1:15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spans="1:15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spans="1:15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spans="1:15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spans="1:15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spans="1:15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spans="1:15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spans="1:15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spans="1:15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spans="1:15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spans="1:15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spans="1:15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spans="1:15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spans="1:15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spans="1:15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spans="1:15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spans="1:15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spans="1:15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spans="1:15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spans="1:15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spans="1:15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spans="1:15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spans="1:15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</sheetData>
  <mergeCells count="23">
    <mergeCell ref="O34:P34"/>
    <mergeCell ref="L34:N34"/>
    <mergeCell ref="O29:P29"/>
    <mergeCell ref="K29:L29"/>
    <mergeCell ref="K22:L22"/>
    <mergeCell ref="K30:L30"/>
    <mergeCell ref="O30:P30"/>
    <mergeCell ref="Q17:T17"/>
    <mergeCell ref="K41:N41"/>
    <mergeCell ref="O41:P41"/>
    <mergeCell ref="I31:R32"/>
    <mergeCell ref="A3:B3"/>
    <mergeCell ref="K23:L23"/>
    <mergeCell ref="K25:L25"/>
    <mergeCell ref="K26:L26"/>
    <mergeCell ref="K28:L28"/>
    <mergeCell ref="F19:P21"/>
    <mergeCell ref="A34:B34"/>
    <mergeCell ref="O22:P22"/>
    <mergeCell ref="O23:P23"/>
    <mergeCell ref="O25:P25"/>
    <mergeCell ref="O26:P26"/>
    <mergeCell ref="O28:P28"/>
  </mergeCells>
  <dataValidations count="15">
    <dataValidation type="list" allowBlank="1" showInputMessage="1" showErrorMessage="1" sqref="A3:B3" xr:uid="{DC9B34C2-24C6-45BD-BBB9-34694EC18144}">
      <formula1>$Q$1:$Q$4</formula1>
    </dataValidation>
    <dataValidation type="list" allowBlank="1" showInputMessage="1" showErrorMessage="1" sqref="B31" xr:uid="{BB72B9A5-F446-4253-8F46-3A0E7FDE2972}">
      <formula1>$S$1:$S$2</formula1>
    </dataValidation>
    <dataValidation type="list" allowBlank="1" showInputMessage="1" showErrorMessage="1" sqref="B20" xr:uid="{F7C80D74-DB41-4F68-B117-67982792A492}">
      <formula1>$P$1:$P$3</formula1>
    </dataValidation>
    <dataValidation type="whole" allowBlank="1" showInputMessage="1" showErrorMessage="1" errorTitle="Недопустимое значение" error="Данное значение невозможно применить к расчёту. Обратитесь к андеррайтеру!!!" sqref="B4" xr:uid="{FB787B5F-C5FB-4B58-8E14-B92789C3ADE5}">
      <formula1>15</formula1>
      <formula2>350</formula2>
    </dataValidation>
    <dataValidation type="whole" allowBlank="1" showInputMessage="1" showErrorMessage="1" errorTitle="Ввод недопустимого значения" error="Данное значение невозможно применить к расчёту. Оратитесь к андеррайтеру!!!" sqref="B5" xr:uid="{B8EA55C1-3062-4AFB-AE8E-BEA5202CA3B0}">
      <formula1>1900</formula1>
      <formula2>2020</formula2>
    </dataValidation>
    <dataValidation type="list" allowBlank="1" showInputMessage="1" showErrorMessage="1" sqref="F28" xr:uid="{2D0BD05B-F669-48BF-816F-6C806F8F1A7D}">
      <formula1>$S$3:$S$5</formula1>
    </dataValidation>
    <dataValidation type="list" allowBlank="1" showInputMessage="1" showErrorMessage="1" sqref="B33" xr:uid="{F2C6B8E2-9A9B-43DD-8B9E-968E0F3ADCEF}">
      <formula1>$O$1:$O$3</formula1>
    </dataValidation>
    <dataValidation type="list" allowBlank="1" showInputMessage="1" showErrorMessage="1" sqref="A34:B34" xr:uid="{B2E5F99B-F61A-4AC5-91C5-6DCBB4C41070}">
      <formula1>$U$1:$U$6</formula1>
    </dataValidation>
    <dataValidation type="list" allowBlank="1" showInputMessage="1" showErrorMessage="1" sqref="M23 M28:M29 M25:M26" xr:uid="{532FE229-352D-412A-9897-A87476F509A7}">
      <formula1>$V$1:$V$5</formula1>
    </dataValidation>
    <dataValidation type="list" allowBlank="1" showInputMessage="1" showErrorMessage="1" sqref="B18" xr:uid="{5BE7A402-E90C-4C8C-A373-37E9DB144289}">
      <formula1>$U$18:$U$23</formula1>
    </dataValidation>
    <dataValidation type="list" allowBlank="1" showInputMessage="1" showErrorMessage="1" sqref="B37" xr:uid="{3CF07518-E380-4FF4-89E7-8B127AED9B53}">
      <formula1>$P$1:$P$2</formula1>
    </dataValidation>
    <dataValidation type="whole" allowBlank="1" showInputMessage="1" showErrorMessage="1" sqref="K23:L23" xr:uid="{E22C7F74-93CA-4A05-8A8E-A59E354EF6A6}">
      <formula1>1000000</formula1>
      <formula2>150000000</formula2>
    </dataValidation>
    <dataValidation type="whole" allowBlank="1" showInputMessage="1" showErrorMessage="1" sqref="K25:L25" xr:uid="{CC78C1D2-EE55-4B21-A280-ACB6B757CA20}">
      <formula1>700000</formula1>
      <formula2>105000000</formula2>
    </dataValidation>
    <dataValidation type="whole" allowBlank="1" showInputMessage="1" showErrorMessage="1" sqref="K26:L26" xr:uid="{F10241D5-7B86-4544-B96B-2F0FB8D01A55}">
      <formula1>150000</formula1>
      <formula2>50000000</formula2>
    </dataValidation>
    <dataValidation type="whole" allowBlank="1" showInputMessage="1" showErrorMessage="1" sqref="K28:L29" xr:uid="{E944AB2B-B7BA-4314-8145-D3D34639334F}">
      <formula1>10000</formula1>
      <formula2>15000000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Option Button 1">
              <controlPr defaultSize="0" autoFill="0" autoLine="0" autoPict="0">
                <anchor moveWithCells="1">
                  <from>
                    <xdr:col>0</xdr:col>
                    <xdr:colOff>209550</xdr:colOff>
                    <xdr:row>21</xdr:row>
                    <xdr:rowOff>123825</xdr:rowOff>
                  </from>
                  <to>
                    <xdr:col>1</xdr:col>
                    <xdr:colOff>19050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Option Button 2">
              <controlPr defaultSize="0" autoFill="0" autoLine="0" autoPict="0">
                <anchor moveWithCells="1">
                  <from>
                    <xdr:col>0</xdr:col>
                    <xdr:colOff>200025</xdr:colOff>
                    <xdr:row>23</xdr:row>
                    <xdr:rowOff>180975</xdr:rowOff>
                  </from>
                  <to>
                    <xdr:col>1</xdr:col>
                    <xdr:colOff>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</xdr:col>
                    <xdr:colOff>438150</xdr:colOff>
                    <xdr:row>4</xdr:row>
                    <xdr:rowOff>161925</xdr:rowOff>
                  </from>
                  <to>
                    <xdr:col>7</xdr:col>
                    <xdr:colOff>419100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</xdr:col>
                    <xdr:colOff>438150</xdr:colOff>
                    <xdr:row>5</xdr:row>
                    <xdr:rowOff>133350</xdr:rowOff>
                  </from>
                  <to>
                    <xdr:col>8</xdr:col>
                    <xdr:colOff>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</xdr:col>
                    <xdr:colOff>438150</xdr:colOff>
                    <xdr:row>6</xdr:row>
                    <xdr:rowOff>85725</xdr:rowOff>
                  </from>
                  <to>
                    <xdr:col>8</xdr:col>
                    <xdr:colOff>276225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</xdr:col>
                    <xdr:colOff>438150</xdr:colOff>
                    <xdr:row>6</xdr:row>
                    <xdr:rowOff>180975</xdr:rowOff>
                  </from>
                  <to>
                    <xdr:col>13</xdr:col>
                    <xdr:colOff>200025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heck Box 8">
              <controlPr defaultSize="0" autoFill="0" autoLine="0" autoPict="0">
                <anchor moveWithCells="1">
                  <from>
                    <xdr:col>1</xdr:col>
                    <xdr:colOff>438150</xdr:colOff>
                    <xdr:row>7</xdr:row>
                    <xdr:rowOff>180975</xdr:rowOff>
                  </from>
                  <to>
                    <xdr:col>6</xdr:col>
                    <xdr:colOff>457200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Check Box 9">
              <controlPr defaultSize="0" autoFill="0" autoLine="0" autoPict="0">
                <anchor moveWithCells="1">
                  <from>
                    <xdr:col>1</xdr:col>
                    <xdr:colOff>438150</xdr:colOff>
                    <xdr:row>10</xdr:row>
                    <xdr:rowOff>38100</xdr:rowOff>
                  </from>
                  <to>
                    <xdr:col>5</xdr:col>
                    <xdr:colOff>419100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Check Box 10">
              <controlPr defaultSize="0" autoFill="0" autoLine="0" autoPict="0">
                <anchor moveWithCells="1">
                  <from>
                    <xdr:col>1</xdr:col>
                    <xdr:colOff>438150</xdr:colOff>
                    <xdr:row>8</xdr:row>
                    <xdr:rowOff>104775</xdr:rowOff>
                  </from>
                  <to>
                    <xdr:col>6</xdr:col>
                    <xdr:colOff>38100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Check Box 11">
              <controlPr defaultSize="0" autoFill="0" autoLine="0" autoPict="0">
                <anchor moveWithCells="1">
                  <from>
                    <xdr:col>1</xdr:col>
                    <xdr:colOff>438150</xdr:colOff>
                    <xdr:row>9</xdr:row>
                    <xdr:rowOff>66675</xdr:rowOff>
                  </from>
                  <to>
                    <xdr:col>8</xdr:col>
                    <xdr:colOff>304800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Check Box 12">
              <controlPr defaultSize="0" autoFill="0" autoLine="0" autoPict="0">
                <anchor moveWithCells="1">
                  <from>
                    <xdr:col>1</xdr:col>
                    <xdr:colOff>438150</xdr:colOff>
                    <xdr:row>10</xdr:row>
                    <xdr:rowOff>161925</xdr:rowOff>
                  </from>
                  <to>
                    <xdr:col>9</xdr:col>
                    <xdr:colOff>295275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</xdr:col>
                    <xdr:colOff>438150</xdr:colOff>
                    <xdr:row>11</xdr:row>
                    <xdr:rowOff>142875</xdr:rowOff>
                  </from>
                  <to>
                    <xdr:col>9</xdr:col>
                    <xdr:colOff>219075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5" name="Check Box 14">
              <controlPr defaultSize="0" autoFill="0" autoLine="0" autoPict="0">
                <anchor moveWithCells="1">
                  <from>
                    <xdr:col>1</xdr:col>
                    <xdr:colOff>438150</xdr:colOff>
                    <xdr:row>12</xdr:row>
                    <xdr:rowOff>95250</xdr:rowOff>
                  </from>
                  <to>
                    <xdr:col>10</xdr:col>
                    <xdr:colOff>533400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6" name="Button 19">
              <controlPr defaultSize="0" print="0" autoFill="0" autoPict="0" macro="[0]!ОчисткаСП">
                <anchor moveWithCells="1" sizeWithCells="1">
                  <from>
                    <xdr:col>13</xdr:col>
                    <xdr:colOff>47625</xdr:colOff>
                    <xdr:row>0</xdr:row>
                    <xdr:rowOff>47625</xdr:rowOff>
                  </from>
                  <to>
                    <xdr:col>16</xdr:col>
                    <xdr:colOff>28575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69949-1430-4EAB-99C0-75C76CA3DAC9}">
  <sheetPr codeName="Лист5">
    <tabColor theme="0" tint="-0.34998626667073579"/>
  </sheetPr>
  <dimension ref="A1:I54"/>
  <sheetViews>
    <sheetView workbookViewId="0">
      <selection activeCell="B2" sqref="B2:F2"/>
    </sheetView>
  </sheetViews>
  <sheetFormatPr defaultColWidth="0" defaultRowHeight="15" zeroHeight="1" x14ac:dyDescent="0.25"/>
  <cols>
    <col min="1" max="2" width="26" customWidth="1"/>
    <col min="3" max="4" width="11.140625" customWidth="1"/>
    <col min="5" max="5" width="4.85546875" customWidth="1"/>
    <col min="6" max="6" width="11.140625" customWidth="1"/>
    <col min="7" max="7" width="20.140625" customWidth="1"/>
    <col min="8" max="8" width="11.5703125" customWidth="1"/>
    <col min="9" max="9" width="28.7109375" customWidth="1"/>
    <col min="10" max="16384" width="9.140625" hidden="1"/>
  </cols>
  <sheetData>
    <row r="1" spans="1:9" x14ac:dyDescent="0.25">
      <c r="A1" s="278" t="s">
        <v>164</v>
      </c>
      <c r="B1" s="278"/>
      <c r="C1" s="278"/>
      <c r="D1" s="161"/>
      <c r="E1" s="161"/>
      <c r="F1" s="161"/>
      <c r="G1" s="38"/>
      <c r="H1" s="38" t="s">
        <v>214</v>
      </c>
      <c r="I1" s="184" t="s">
        <v>230</v>
      </c>
    </row>
    <row r="2" spans="1:9" x14ac:dyDescent="0.25">
      <c r="A2" s="178" t="s">
        <v>165</v>
      </c>
      <c r="B2" s="281"/>
      <c r="C2" s="281"/>
      <c r="D2" s="281"/>
      <c r="E2" s="281"/>
      <c r="F2" s="281"/>
      <c r="G2" s="38" t="e">
        <f>MID(B2,SEARCH(" ",B2)+1,LEN(B2))</f>
        <v>#VALUE!</v>
      </c>
      <c r="H2" s="183">
        <v>1</v>
      </c>
      <c r="I2" s="183">
        <v>2</v>
      </c>
    </row>
    <row r="3" spans="1:9" x14ac:dyDescent="0.25">
      <c r="A3" s="178" t="s">
        <v>166</v>
      </c>
      <c r="B3" s="179"/>
      <c r="C3" s="3"/>
      <c r="D3" s="3"/>
      <c r="E3" s="3"/>
      <c r="F3" s="3"/>
      <c r="G3" s="84"/>
      <c r="H3" s="183"/>
      <c r="I3" s="183">
        <v>3</v>
      </c>
    </row>
    <row r="4" spans="1:9" x14ac:dyDescent="0.25">
      <c r="A4" s="178" t="s">
        <v>167</v>
      </c>
      <c r="B4" s="180"/>
      <c r="C4" s="3"/>
      <c r="D4" s="3"/>
      <c r="E4" s="3"/>
      <c r="F4" s="3"/>
      <c r="G4" s="84"/>
      <c r="H4" s="183"/>
      <c r="I4" s="183">
        <v>4</v>
      </c>
    </row>
    <row r="5" spans="1:9" x14ac:dyDescent="0.25">
      <c r="A5" s="181" t="s">
        <v>168</v>
      </c>
      <c r="B5" s="182"/>
      <c r="C5" s="3"/>
      <c r="D5" s="3"/>
      <c r="E5" s="3"/>
      <c r="F5" s="3"/>
      <c r="G5" s="84"/>
      <c r="H5" s="84"/>
      <c r="I5" s="84"/>
    </row>
    <row r="6" spans="1:9" ht="24" customHeight="1" x14ac:dyDescent="0.25">
      <c r="A6" s="277" t="s">
        <v>223</v>
      </c>
      <c r="B6" s="280"/>
      <c r="C6" s="280"/>
      <c r="D6" s="280"/>
      <c r="E6" s="280"/>
      <c r="F6" s="280"/>
      <c r="G6" s="183"/>
      <c r="H6" s="183"/>
      <c r="I6" s="183"/>
    </row>
    <row r="7" spans="1:9" ht="18.75" customHeight="1" x14ac:dyDescent="0.25">
      <c r="A7" s="277"/>
      <c r="B7" s="280"/>
      <c r="C7" s="280"/>
      <c r="D7" s="280"/>
      <c r="E7" s="280"/>
      <c r="F7" s="280"/>
      <c r="G7" s="183"/>
      <c r="H7" s="183"/>
      <c r="I7" s="183"/>
    </row>
    <row r="8" spans="1:9" x14ac:dyDescent="0.25">
      <c r="A8" s="278" t="s">
        <v>170</v>
      </c>
      <c r="B8" s="278"/>
      <c r="C8" s="278"/>
      <c r="D8" s="161"/>
      <c r="E8" s="161"/>
      <c r="F8" s="161"/>
      <c r="G8" s="183"/>
      <c r="H8" s="183"/>
      <c r="I8" s="183"/>
    </row>
    <row r="9" spans="1:9" x14ac:dyDescent="0.25">
      <c r="A9" s="178" t="s">
        <v>208</v>
      </c>
      <c r="B9" s="281"/>
      <c r="C9" s="281"/>
      <c r="D9" s="281"/>
      <c r="E9" s="281"/>
      <c r="F9" s="281"/>
      <c r="G9" s="183"/>
      <c r="H9" s="183"/>
      <c r="I9" s="183"/>
    </row>
    <row r="10" spans="1:9" x14ac:dyDescent="0.25">
      <c r="A10" s="279" t="s">
        <v>229</v>
      </c>
      <c r="B10" s="279"/>
      <c r="C10" s="279"/>
      <c r="D10" s="161"/>
      <c r="E10" s="161"/>
      <c r="F10" s="161"/>
      <c r="G10" s="183"/>
      <c r="H10" s="183"/>
      <c r="I10" s="183"/>
    </row>
    <row r="11" spans="1:9" x14ac:dyDescent="0.25">
      <c r="A11" s="174" t="s">
        <v>224</v>
      </c>
      <c r="B11" s="176"/>
      <c r="C11" s="49"/>
      <c r="D11" s="49"/>
      <c r="E11" s="49"/>
      <c r="F11" s="49"/>
      <c r="G11" s="183"/>
      <c r="H11" s="183"/>
      <c r="I11" s="183"/>
    </row>
    <row r="12" spans="1:9" x14ac:dyDescent="0.25">
      <c r="A12" s="174" t="s">
        <v>225</v>
      </c>
      <c r="B12" s="177"/>
      <c r="C12" s="49"/>
      <c r="D12" s="49"/>
      <c r="E12" s="49"/>
      <c r="F12" s="49"/>
      <c r="G12" s="183"/>
      <c r="H12" s="183"/>
      <c r="I12" s="183"/>
    </row>
    <row r="13" spans="1:9" x14ac:dyDescent="0.25">
      <c r="A13" s="174" t="s">
        <v>226</v>
      </c>
      <c r="B13" s="175"/>
      <c r="C13" s="49" t="s">
        <v>231</v>
      </c>
      <c r="D13" s="49"/>
      <c r="E13" s="166"/>
      <c r="F13" s="165">
        <f ca="1">TODAY()+1</f>
        <v>43911</v>
      </c>
      <c r="G13" s="168" t="s">
        <v>232</v>
      </c>
      <c r="H13" s="165">
        <f ca="1">TODAY()+14</f>
        <v>43924</v>
      </c>
      <c r="I13" s="183"/>
    </row>
    <row r="14" spans="1:9" x14ac:dyDescent="0.25">
      <c r="A14" s="278" t="s">
        <v>252</v>
      </c>
      <c r="B14" s="278"/>
      <c r="C14" s="278"/>
      <c r="D14" s="161"/>
      <c r="E14" s="161"/>
      <c r="F14" s="161"/>
      <c r="G14" s="183"/>
      <c r="H14" s="183"/>
      <c r="I14" s="183"/>
    </row>
    <row r="15" spans="1:9" x14ac:dyDescent="0.25">
      <c r="A15" s="174" t="s">
        <v>227</v>
      </c>
      <c r="B15" s="176"/>
      <c r="C15" s="165"/>
      <c r="D15" s="165"/>
      <c r="E15" s="165"/>
      <c r="F15" s="165"/>
      <c r="G15" s="183"/>
      <c r="H15" s="183"/>
      <c r="I15" s="183"/>
    </row>
    <row r="16" spans="1:9" x14ac:dyDescent="0.25">
      <c r="A16" s="174" t="s">
        <v>228</v>
      </c>
      <c r="B16" s="185"/>
      <c r="C16" s="49"/>
      <c r="D16" s="49"/>
      <c r="E16" s="49"/>
      <c r="F16" s="49"/>
      <c r="G16" s="183"/>
      <c r="H16" s="183"/>
      <c r="I16" s="183"/>
    </row>
    <row r="17" spans="1:9" x14ac:dyDescent="0.25">
      <c r="A17" s="174" t="s">
        <v>249</v>
      </c>
      <c r="B17" s="198"/>
      <c r="C17" s="38"/>
      <c r="D17" s="38"/>
      <c r="E17" s="38"/>
      <c r="F17" s="38"/>
      <c r="G17" s="38"/>
      <c r="H17" s="38"/>
      <c r="I17" s="38"/>
    </row>
    <row r="18" spans="1:9" x14ac:dyDescent="0.25">
      <c r="A18" s="174" t="s">
        <v>250</v>
      </c>
      <c r="B18" s="198"/>
      <c r="C18" s="272" t="s">
        <v>251</v>
      </c>
      <c r="D18" s="273"/>
      <c r="E18" s="274"/>
      <c r="F18" s="275"/>
      <c r="G18" s="276"/>
      <c r="H18" s="38"/>
      <c r="I18" s="38"/>
    </row>
    <row r="19" spans="1:9" hidden="1" x14ac:dyDescent="0.25"/>
    <row r="20" spans="1:9" hidden="1" x14ac:dyDescent="0.25"/>
    <row r="21" spans="1:9" hidden="1" x14ac:dyDescent="0.25"/>
    <row r="22" spans="1:9" hidden="1" x14ac:dyDescent="0.25"/>
    <row r="23" spans="1:9" hidden="1" x14ac:dyDescent="0.25"/>
    <row r="24" spans="1:9" hidden="1" x14ac:dyDescent="0.25"/>
    <row r="25" spans="1:9" hidden="1" x14ac:dyDescent="0.25"/>
    <row r="26" spans="1:9" hidden="1" x14ac:dyDescent="0.25"/>
    <row r="27" spans="1:9" hidden="1" x14ac:dyDescent="0.25"/>
    <row r="28" spans="1:9" hidden="1" x14ac:dyDescent="0.25"/>
    <row r="29" spans="1:9" hidden="1" x14ac:dyDescent="0.25"/>
    <row r="30" spans="1:9" hidden="1" x14ac:dyDescent="0.25"/>
    <row r="31" spans="1:9" hidden="1" x14ac:dyDescent="0.25"/>
    <row r="32" spans="1: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</sheetData>
  <sheetProtection selectLockedCells="1"/>
  <mergeCells count="10">
    <mergeCell ref="C18:D18"/>
    <mergeCell ref="E18:G18"/>
    <mergeCell ref="A6:A7"/>
    <mergeCell ref="A1:C1"/>
    <mergeCell ref="A10:C10"/>
    <mergeCell ref="A14:C14"/>
    <mergeCell ref="A8:C8"/>
    <mergeCell ref="B6:F7"/>
    <mergeCell ref="B2:F2"/>
    <mergeCell ref="B9:F9"/>
  </mergeCells>
  <dataValidations count="3">
    <dataValidation type="list" allowBlank="1" showInputMessage="1" showErrorMessage="1" sqref="B11" xr:uid="{2B0B1C30-D9F1-417A-A315-CD1707C8C1D1}">
      <formula1>$H$1:$I$1</formula1>
    </dataValidation>
    <dataValidation type="list" allowBlank="1" showInputMessage="1" showErrorMessage="1" sqref="B12" xr:uid="{738222C9-DFC6-4BD8-86BE-A367C661ACFA}">
      <formula1>INDIRECT(B11)</formula1>
    </dataValidation>
    <dataValidation type="date" allowBlank="1" showInputMessage="1" showErrorMessage="1" sqref="B13" xr:uid="{F6E377E4-CFF7-4754-B307-0251502043FB}">
      <formula1>TODAY()+1</formula1>
      <formula2>TODAY()+14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Чисткаформы">
                <anchor moveWithCells="1" sizeWithCells="1">
                  <from>
                    <xdr:col>2</xdr:col>
                    <xdr:colOff>485775</xdr:colOff>
                    <xdr:row>2</xdr:row>
                    <xdr:rowOff>57150</xdr:rowOff>
                  </from>
                  <to>
                    <xdr:col>5</xdr:col>
                    <xdr:colOff>590550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07057-56C2-4F41-89B1-247F75B89229}">
  <sheetPr codeName="Лист3">
    <tabColor rgb="FFFFFF00"/>
  </sheetPr>
  <dimension ref="A1:M94"/>
  <sheetViews>
    <sheetView topLeftCell="A4" workbookViewId="0">
      <selection activeCell="B5" sqref="B5:L46"/>
    </sheetView>
  </sheetViews>
  <sheetFormatPr defaultColWidth="0" defaultRowHeight="15" zeroHeight="1" x14ac:dyDescent="0.25"/>
  <cols>
    <col min="1" max="1" width="6.85546875" style="111" customWidth="1"/>
    <col min="2" max="2" width="9.140625" style="111" customWidth="1"/>
    <col min="3" max="3" width="13.5703125" style="111" customWidth="1"/>
    <col min="4" max="4" width="8.5703125" style="111" customWidth="1"/>
    <col min="5" max="5" width="9.140625" style="111" customWidth="1"/>
    <col min="6" max="6" width="1.42578125" style="111" customWidth="1"/>
    <col min="7" max="7" width="7.28515625" style="111" customWidth="1"/>
    <col min="8" max="8" width="1.7109375" style="111" customWidth="1"/>
    <col min="9" max="9" width="2.7109375" style="111" customWidth="1"/>
    <col min="10" max="10" width="18.140625" style="111" customWidth="1"/>
    <col min="11" max="11" width="11.85546875" style="111" customWidth="1"/>
    <col min="12" max="12" width="11.7109375" style="111" customWidth="1"/>
    <col min="13" max="13" width="9.140625" style="111" customWidth="1"/>
    <col min="14" max="16384" width="9.140625" hidden="1"/>
  </cols>
  <sheetData>
    <row r="1" spans="1:13" x14ac:dyDescent="0.25">
      <c r="A1" s="112"/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7"/>
      <c r="M1" s="118"/>
    </row>
    <row r="2" spans="1:13" x14ac:dyDescent="0.25">
      <c r="A2" s="114"/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6"/>
      <c r="M2" s="119"/>
    </row>
    <row r="3" spans="1:13" x14ac:dyDescent="0.25">
      <c r="A3" s="114"/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6"/>
      <c r="M3" s="119"/>
    </row>
    <row r="4" spans="1:13" x14ac:dyDescent="0.25">
      <c r="A4" s="114"/>
      <c r="B4" s="115"/>
      <c r="C4" s="115"/>
      <c r="D4" s="115"/>
      <c r="E4" s="115"/>
      <c r="F4" s="115"/>
      <c r="G4" s="115"/>
      <c r="H4" s="115"/>
      <c r="I4" s="115"/>
      <c r="J4" s="115"/>
      <c r="K4" s="115"/>
      <c r="L4" s="116"/>
      <c r="M4" s="119"/>
    </row>
    <row r="5" spans="1:13" ht="18" customHeight="1" x14ac:dyDescent="0.25">
      <c r="A5" s="114"/>
      <c r="B5" s="115"/>
      <c r="C5" s="337" t="s">
        <v>139</v>
      </c>
      <c r="D5" s="337"/>
      <c r="E5" s="294" t="str">
        <f>IF(ISERROR(Данные!$G$2),"",Данные!$G$2)</f>
        <v/>
      </c>
      <c r="F5" s="294"/>
      <c r="G5" s="294"/>
      <c r="H5" s="294"/>
      <c r="I5" s="294"/>
      <c r="J5" s="294"/>
      <c r="K5" s="115"/>
      <c r="L5" s="116"/>
      <c r="M5" s="119"/>
    </row>
    <row r="6" spans="1:13" ht="9" customHeight="1" x14ac:dyDescent="0.25">
      <c r="A6" s="114"/>
      <c r="B6" s="115"/>
      <c r="C6" s="115"/>
      <c r="D6" s="115"/>
      <c r="E6" s="115"/>
      <c r="F6" s="115"/>
      <c r="G6" s="115"/>
      <c r="H6" s="115"/>
      <c r="I6" s="115"/>
      <c r="J6" s="115"/>
      <c r="K6" s="115"/>
      <c r="L6" s="116"/>
      <c r="M6" s="119"/>
    </row>
    <row r="7" spans="1:13" ht="11.25" customHeight="1" x14ac:dyDescent="0.25">
      <c r="A7" s="114"/>
      <c r="B7" s="296" t="str">
        <f>IF(OR(E9="таунхаус",E9="дуплекс",E9="квартира"),B67,IF(E9="апартаменты",B70,""))</f>
        <v/>
      </c>
      <c r="C7" s="296"/>
      <c r="D7" s="296"/>
      <c r="E7" s="296"/>
      <c r="F7" s="296"/>
      <c r="G7" s="296"/>
      <c r="H7" s="296"/>
      <c r="I7" s="296"/>
      <c r="J7" s="296"/>
      <c r="K7" s="296"/>
      <c r="L7" s="296"/>
      <c r="M7" s="119"/>
    </row>
    <row r="8" spans="1:13" x14ac:dyDescent="0.25">
      <c r="A8" s="115"/>
      <c r="B8" s="296"/>
      <c r="C8" s="296"/>
      <c r="D8" s="296"/>
      <c r="E8" s="296"/>
      <c r="F8" s="296"/>
      <c r="G8" s="296"/>
      <c r="H8" s="296"/>
      <c r="I8" s="296"/>
      <c r="J8" s="296"/>
      <c r="K8" s="296"/>
      <c r="L8" s="296"/>
      <c r="M8" s="119"/>
    </row>
    <row r="9" spans="1:13" x14ac:dyDescent="0.25">
      <c r="A9" s="114"/>
      <c r="B9" s="115"/>
      <c r="C9" s="115"/>
      <c r="D9" s="115"/>
      <c r="E9" s="295">
        <f>'Расчёт премии'!$A$3</f>
        <v>0</v>
      </c>
      <c r="F9" s="295"/>
      <c r="G9" s="295"/>
      <c r="H9" s="115"/>
      <c r="I9" s="115"/>
      <c r="J9" s="115"/>
      <c r="K9" s="115"/>
      <c r="L9" s="116"/>
      <c r="M9" s="119"/>
    </row>
    <row r="10" spans="1:13" x14ac:dyDescent="0.25">
      <c r="A10" s="114"/>
      <c r="B10" s="186" t="s">
        <v>208</v>
      </c>
      <c r="C10" s="190"/>
      <c r="D10" s="282">
        <f>Данные!$B$9</f>
        <v>0</v>
      </c>
      <c r="E10" s="283"/>
      <c r="F10" s="283"/>
      <c r="G10" s="283"/>
      <c r="H10" s="283"/>
      <c r="I10" s="283"/>
      <c r="J10" s="283"/>
      <c r="K10" s="283"/>
      <c r="L10" s="283"/>
      <c r="M10" s="119"/>
    </row>
    <row r="11" spans="1:13" x14ac:dyDescent="0.25">
      <c r="A11" s="114"/>
      <c r="B11" s="186" t="s">
        <v>100</v>
      </c>
      <c r="C11" s="190"/>
      <c r="D11" s="282">
        <f>A55</f>
        <v>0</v>
      </c>
      <c r="E11" s="283"/>
      <c r="F11" s="283"/>
      <c r="G11" s="283"/>
      <c r="H11" s="283"/>
      <c r="I11" s="283"/>
      <c r="J11" s="283"/>
      <c r="K11" s="283"/>
      <c r="L11" s="284"/>
      <c r="M11" s="119"/>
    </row>
    <row r="12" spans="1:13" x14ac:dyDescent="0.25">
      <c r="A12" s="114"/>
      <c r="B12" s="338" t="s">
        <v>140</v>
      </c>
      <c r="C12" s="339"/>
      <c r="D12" s="339"/>
      <c r="E12" s="339"/>
      <c r="F12" s="339"/>
      <c r="G12" s="339"/>
      <c r="H12" s="339"/>
      <c r="I12" s="339"/>
      <c r="J12" s="339"/>
      <c r="K12" s="339"/>
      <c r="L12" s="340"/>
      <c r="M12" s="119"/>
    </row>
    <row r="13" spans="1:13" x14ac:dyDescent="0.25">
      <c r="A13" s="114"/>
      <c r="B13" s="345" t="s">
        <v>143</v>
      </c>
      <c r="C13" s="346"/>
      <c r="D13" s="369" t="str">
        <f>'Расчёт премии'!$F$19</f>
        <v/>
      </c>
      <c r="E13" s="332"/>
      <c r="F13" s="332"/>
      <c r="G13" s="332"/>
      <c r="H13" s="332"/>
      <c r="I13" s="332"/>
      <c r="J13" s="332"/>
      <c r="K13" s="332"/>
      <c r="L13" s="333"/>
      <c r="M13" s="119"/>
    </row>
    <row r="14" spans="1:13" x14ac:dyDescent="0.25">
      <c r="A14" s="114"/>
      <c r="B14" s="347"/>
      <c r="C14" s="348"/>
      <c r="D14" s="370"/>
      <c r="E14" s="334"/>
      <c r="F14" s="334"/>
      <c r="G14" s="334"/>
      <c r="H14" s="334"/>
      <c r="I14" s="334"/>
      <c r="J14" s="334"/>
      <c r="K14" s="334"/>
      <c r="L14" s="335"/>
      <c r="M14" s="119"/>
    </row>
    <row r="15" spans="1:13" ht="35.25" customHeight="1" x14ac:dyDescent="0.25">
      <c r="A15" s="114"/>
      <c r="B15" s="349"/>
      <c r="C15" s="350"/>
      <c r="D15" s="371"/>
      <c r="E15" s="372"/>
      <c r="F15" s="372"/>
      <c r="G15" s="372"/>
      <c r="H15" s="372"/>
      <c r="I15" s="372"/>
      <c r="J15" s="372"/>
      <c r="K15" s="372"/>
      <c r="L15" s="373"/>
      <c r="M15" s="119"/>
    </row>
    <row r="16" spans="1:13" ht="15" customHeight="1" x14ac:dyDescent="0.25">
      <c r="A16" s="114"/>
      <c r="B16" s="351" t="s">
        <v>144</v>
      </c>
      <c r="C16" s="352"/>
      <c r="D16" s="332" t="str">
        <f>'Расчёт премии'!$I$31</f>
        <v>Без страхования гражданской ответственности</v>
      </c>
      <c r="E16" s="332"/>
      <c r="F16" s="332"/>
      <c r="G16" s="332"/>
      <c r="H16" s="332"/>
      <c r="I16" s="332"/>
      <c r="J16" s="332"/>
      <c r="K16" s="332"/>
      <c r="L16" s="333"/>
      <c r="M16" s="119"/>
    </row>
    <row r="17" spans="1:13" ht="24" customHeight="1" x14ac:dyDescent="0.25">
      <c r="A17" s="114"/>
      <c r="B17" s="353"/>
      <c r="C17" s="354"/>
      <c r="D17" s="334"/>
      <c r="E17" s="334"/>
      <c r="F17" s="334"/>
      <c r="G17" s="334"/>
      <c r="H17" s="334"/>
      <c r="I17" s="334"/>
      <c r="J17" s="334"/>
      <c r="K17" s="334"/>
      <c r="L17" s="335"/>
      <c r="M17" s="119"/>
    </row>
    <row r="18" spans="1:13" ht="17.25" customHeight="1" x14ac:dyDescent="0.25">
      <c r="A18" s="114"/>
      <c r="B18" s="361" t="s">
        <v>146</v>
      </c>
      <c r="C18" s="362"/>
      <c r="D18" s="363" t="str">
        <f>IF(D16="Без страхования гражданской ответственности","",'Расчёт премии'!$I$33)</f>
        <v/>
      </c>
      <c r="E18" s="364"/>
      <c r="F18" s="364"/>
      <c r="G18" s="364"/>
      <c r="H18" s="364"/>
      <c r="I18" s="364"/>
      <c r="J18" s="364"/>
      <c r="K18" s="364"/>
      <c r="L18" s="365"/>
      <c r="M18" s="119"/>
    </row>
    <row r="19" spans="1:13" x14ac:dyDescent="0.25">
      <c r="A19" s="114"/>
      <c r="B19" s="351" t="s">
        <v>145</v>
      </c>
      <c r="C19" s="366"/>
      <c r="D19" s="355" t="str">
        <f>'Расчёт премии'!$G$37</f>
        <v>Непредвиденные расходы не застрахованы</v>
      </c>
      <c r="E19" s="356"/>
      <c r="F19" s="356"/>
      <c r="G19" s="356"/>
      <c r="H19" s="356"/>
      <c r="I19" s="356"/>
      <c r="J19" s="356"/>
      <c r="K19" s="356"/>
      <c r="L19" s="357"/>
      <c r="M19" s="119"/>
    </row>
    <row r="20" spans="1:13" x14ac:dyDescent="0.25">
      <c r="A20" s="114"/>
      <c r="B20" s="367"/>
      <c r="C20" s="368"/>
      <c r="D20" s="358"/>
      <c r="E20" s="359"/>
      <c r="F20" s="359"/>
      <c r="G20" s="359"/>
      <c r="H20" s="359"/>
      <c r="I20" s="359"/>
      <c r="J20" s="359"/>
      <c r="K20" s="359"/>
      <c r="L20" s="360"/>
      <c r="M20" s="119"/>
    </row>
    <row r="21" spans="1:13" x14ac:dyDescent="0.25">
      <c r="A21" s="114"/>
      <c r="B21" s="338" t="s">
        <v>141</v>
      </c>
      <c r="C21" s="339"/>
      <c r="D21" s="339"/>
      <c r="E21" s="339"/>
      <c r="F21" s="339"/>
      <c r="G21" s="339"/>
      <c r="H21" s="339"/>
      <c r="I21" s="339"/>
      <c r="J21" s="339"/>
      <c r="K21" s="339"/>
      <c r="L21" s="340"/>
      <c r="M21" s="119"/>
    </row>
    <row r="22" spans="1:13" x14ac:dyDescent="0.25">
      <c r="A22" s="114"/>
      <c r="B22" s="141" t="s">
        <v>176</v>
      </c>
      <c r="C22" s="142"/>
      <c r="D22" s="142"/>
      <c r="E22" s="142"/>
      <c r="F22" s="142"/>
      <c r="G22" s="141" t="str">
        <f>'Расчёт премии'!$Q$18</f>
        <v/>
      </c>
      <c r="H22" s="123"/>
      <c r="I22" s="123"/>
      <c r="J22" s="123"/>
      <c r="K22" s="123"/>
      <c r="L22" s="124"/>
      <c r="M22" s="119"/>
    </row>
    <row r="23" spans="1:13" x14ac:dyDescent="0.25">
      <c r="A23" s="114"/>
      <c r="B23" s="143" t="s">
        <v>155</v>
      </c>
      <c r="C23" s="140"/>
      <c r="D23" s="140"/>
      <c r="E23" s="140"/>
      <c r="F23" s="140"/>
      <c r="G23" s="143" t="str">
        <f>'Расчёт премии'!$Q$19</f>
        <v/>
      </c>
      <c r="H23" s="115"/>
      <c r="I23" s="115"/>
      <c r="J23" s="115"/>
      <c r="K23" s="115"/>
      <c r="L23" s="125"/>
      <c r="M23" s="119"/>
    </row>
    <row r="24" spans="1:13" x14ac:dyDescent="0.25">
      <c r="A24" s="114"/>
      <c r="B24" s="143" t="s">
        <v>156</v>
      </c>
      <c r="C24" s="140"/>
      <c r="D24" s="140"/>
      <c r="E24" s="140"/>
      <c r="F24" s="140"/>
      <c r="G24" s="143" t="str">
        <f>'Расчёт премии'!$Q$20</f>
        <v/>
      </c>
      <c r="H24" s="115"/>
      <c r="I24" s="115"/>
      <c r="J24" s="115"/>
      <c r="K24" s="115"/>
      <c r="L24" s="125"/>
      <c r="M24" s="119"/>
    </row>
    <row r="25" spans="1:13" x14ac:dyDescent="0.25">
      <c r="A25" s="114"/>
      <c r="B25" s="338" t="s">
        <v>142</v>
      </c>
      <c r="C25" s="339"/>
      <c r="D25" s="339"/>
      <c r="E25" s="339"/>
      <c r="F25" s="339"/>
      <c r="G25" s="339"/>
      <c r="H25" s="339"/>
      <c r="I25" s="339"/>
      <c r="J25" s="339"/>
      <c r="K25" s="339"/>
      <c r="L25" s="340"/>
      <c r="M25" s="119"/>
    </row>
    <row r="26" spans="1:13" x14ac:dyDescent="0.25">
      <c r="A26" s="114"/>
      <c r="B26" s="298" t="s">
        <v>142</v>
      </c>
      <c r="C26" s="299"/>
      <c r="D26" s="299"/>
      <c r="E26" s="299"/>
      <c r="F26" s="299"/>
      <c r="G26" s="299"/>
      <c r="H26" s="300"/>
      <c r="I26" s="298" t="s">
        <v>45</v>
      </c>
      <c r="J26" s="300"/>
      <c r="K26" s="298" t="s">
        <v>65</v>
      </c>
      <c r="L26" s="300"/>
      <c r="M26" s="119"/>
    </row>
    <row r="27" spans="1:13" x14ac:dyDescent="0.25">
      <c r="A27" s="114"/>
      <c r="B27" s="301" t="str">
        <f>IF(AND(A47&gt;0,C47&gt;0,C52=1),D47,"")</f>
        <v/>
      </c>
      <c r="C27" s="302"/>
      <c r="D27" s="302"/>
      <c r="E27" s="302"/>
      <c r="F27" s="302"/>
      <c r="G27" s="302"/>
      <c r="H27" s="303"/>
      <c r="I27" s="310" t="str">
        <f>IF(B27="","",A47)</f>
        <v/>
      </c>
      <c r="J27" s="311"/>
      <c r="K27" s="314" t="str">
        <f>IF(B27="","",C47)</f>
        <v/>
      </c>
      <c r="L27" s="315"/>
      <c r="M27" s="119"/>
    </row>
    <row r="28" spans="1:13" x14ac:dyDescent="0.25">
      <c r="A28" s="114"/>
      <c r="B28" s="304"/>
      <c r="C28" s="305"/>
      <c r="D28" s="305"/>
      <c r="E28" s="305"/>
      <c r="F28" s="305"/>
      <c r="G28" s="305"/>
      <c r="H28" s="306"/>
      <c r="I28" s="312"/>
      <c r="J28" s="313"/>
      <c r="K28" s="316"/>
      <c r="L28" s="317"/>
      <c r="M28" s="119"/>
    </row>
    <row r="29" spans="1:13" x14ac:dyDescent="0.25">
      <c r="A29" s="114"/>
      <c r="B29" s="187" t="str">
        <f>IF(AND(A48&gt;0,C48&gt;0,C52=2),D48,"")</f>
        <v/>
      </c>
      <c r="C29" s="188"/>
      <c r="D29" s="188"/>
      <c r="E29" s="188"/>
      <c r="F29" s="188"/>
      <c r="G29" s="188"/>
      <c r="H29" s="189"/>
      <c r="I29" s="324" t="str">
        <f>IF(B29="","",A48)</f>
        <v/>
      </c>
      <c r="J29" s="325"/>
      <c r="K29" s="326" t="str">
        <f>IF(B29="","",C48)</f>
        <v/>
      </c>
      <c r="L29" s="327"/>
      <c r="M29" s="119"/>
    </row>
    <row r="30" spans="1:13" x14ac:dyDescent="0.25">
      <c r="A30" s="114"/>
      <c r="B30" s="329" t="str">
        <f>IF(AND(A49&gt;0,C49&gt;0,C52=2),D49,"")</f>
        <v/>
      </c>
      <c r="C30" s="330"/>
      <c r="D30" s="330"/>
      <c r="E30" s="330"/>
      <c r="F30" s="330"/>
      <c r="G30" s="330"/>
      <c r="H30" s="331"/>
      <c r="I30" s="324" t="str">
        <f t="shared" ref="I30:I32" si="0">IF(B30="","",A49)</f>
        <v/>
      </c>
      <c r="J30" s="325"/>
      <c r="K30" s="326" t="str">
        <f t="shared" ref="K30:K32" si="1">IF(B30="","",C49)</f>
        <v/>
      </c>
      <c r="L30" s="327"/>
      <c r="M30" s="119"/>
    </row>
    <row r="31" spans="1:13" x14ac:dyDescent="0.25">
      <c r="A31" s="114"/>
      <c r="B31" s="297" t="str">
        <f>IF(AND(A50&gt;0,C50&gt;0),D50,"")</f>
        <v/>
      </c>
      <c r="C31" s="297"/>
      <c r="D31" s="297"/>
      <c r="E31" s="297"/>
      <c r="F31" s="297"/>
      <c r="G31" s="297"/>
      <c r="H31" s="297"/>
      <c r="I31" s="324" t="str">
        <f t="shared" si="0"/>
        <v/>
      </c>
      <c r="J31" s="325"/>
      <c r="K31" s="326" t="str">
        <f t="shared" si="1"/>
        <v/>
      </c>
      <c r="L31" s="327"/>
      <c r="M31" s="119"/>
    </row>
    <row r="32" spans="1:13" x14ac:dyDescent="0.25">
      <c r="A32" s="114"/>
      <c r="B32" s="297" t="str">
        <f>IF(AND(A51&gt;0,C51&gt;0),D51,"")</f>
        <v/>
      </c>
      <c r="C32" s="297"/>
      <c r="D32" s="297"/>
      <c r="E32" s="297"/>
      <c r="F32" s="297"/>
      <c r="G32" s="297"/>
      <c r="H32" s="297"/>
      <c r="I32" s="324" t="str">
        <f t="shared" si="0"/>
        <v/>
      </c>
      <c r="J32" s="325"/>
      <c r="K32" s="326" t="str">
        <f t="shared" si="1"/>
        <v/>
      </c>
      <c r="L32" s="327"/>
      <c r="M32" s="119"/>
    </row>
    <row r="33" spans="1:13" x14ac:dyDescent="0.25">
      <c r="A33" s="114"/>
      <c r="B33" s="297" t="str">
        <f>IF(AND(A53&gt;0,C53&gt;0),D53,"")</f>
        <v/>
      </c>
      <c r="C33" s="297"/>
      <c r="D33" s="297"/>
      <c r="E33" s="297"/>
      <c r="F33" s="297"/>
      <c r="G33" s="297"/>
      <c r="H33" s="297"/>
      <c r="I33" s="324" t="str">
        <f>IF(B33="","",A53)</f>
        <v/>
      </c>
      <c r="J33" s="325"/>
      <c r="K33" s="326" t="str">
        <f>IF(B33="","",C53)</f>
        <v/>
      </c>
      <c r="L33" s="327"/>
      <c r="M33" s="119"/>
    </row>
    <row r="34" spans="1:13" x14ac:dyDescent="0.25">
      <c r="A34" s="114"/>
      <c r="B34" s="297" t="str">
        <f>IF(AND(A54&gt;0,C54&gt;0),D54,"")</f>
        <v/>
      </c>
      <c r="C34" s="297"/>
      <c r="D34" s="297"/>
      <c r="E34" s="297"/>
      <c r="F34" s="297"/>
      <c r="G34" s="309"/>
      <c r="H34" s="309"/>
      <c r="I34" s="324" t="str">
        <f>IF(B34="","",A54)</f>
        <v/>
      </c>
      <c r="J34" s="325"/>
      <c r="K34" s="326" t="str">
        <f>IF(B34="","",C54)</f>
        <v/>
      </c>
      <c r="L34" s="327"/>
      <c r="M34" s="119"/>
    </row>
    <row r="35" spans="1:13" ht="15.75" x14ac:dyDescent="0.25">
      <c r="A35" s="114"/>
      <c r="B35" s="115"/>
      <c r="C35" s="115"/>
      <c r="D35" s="115"/>
      <c r="E35" s="115"/>
      <c r="F35" s="115"/>
      <c r="G35" s="318" t="s">
        <v>148</v>
      </c>
      <c r="H35" s="319"/>
      <c r="I35" s="320">
        <f>SUM(I27:J34)</f>
        <v>0</v>
      </c>
      <c r="J35" s="321"/>
      <c r="K35" s="322">
        <f>SUM(K27:L34)</f>
        <v>0</v>
      </c>
      <c r="L35" s="323"/>
      <c r="M35" s="119"/>
    </row>
    <row r="36" spans="1:13" x14ac:dyDescent="0.25">
      <c r="A36" s="114"/>
      <c r="B36" s="137" t="s">
        <v>172</v>
      </c>
      <c r="C36" s="138"/>
      <c r="D36" s="139"/>
      <c r="E36" s="341" t="s">
        <v>201</v>
      </c>
      <c r="F36" s="342"/>
      <c r="G36" s="144">
        <f>'Расчёт премии'!$B$4</f>
        <v>0</v>
      </c>
      <c r="H36" s="291" t="s">
        <v>202</v>
      </c>
      <c r="I36" s="292"/>
      <c r="J36" s="293"/>
      <c r="K36" s="343">
        <f>'Расчёт премии'!$B$5</f>
        <v>0</v>
      </c>
      <c r="L36" s="344"/>
      <c r="M36" s="119"/>
    </row>
    <row r="37" spans="1:13" x14ac:dyDescent="0.25">
      <c r="A37" s="114"/>
      <c r="B37" s="285" t="str">
        <f>IF(B57=FALSE,E57,D57)</f>
        <v>Помещение не сдаётся в аренду</v>
      </c>
      <c r="C37" s="286"/>
      <c r="D37" s="286"/>
      <c r="E37" s="286"/>
      <c r="F37" s="286"/>
      <c r="G37" s="286"/>
      <c r="H37" s="286"/>
      <c r="I37" s="286"/>
      <c r="J37" s="286"/>
      <c r="K37" s="286"/>
      <c r="L37" s="287"/>
      <c r="M37" s="119"/>
    </row>
    <row r="38" spans="1:13" x14ac:dyDescent="0.25">
      <c r="A38" s="114"/>
      <c r="B38" s="285" t="str">
        <f t="shared" ref="B38:B41" si="2">IF(B58=FALSE,E58,D58)</f>
        <v>Помещение не оборудовано охранной сигнализацией с выводом сигнала на пульт круглосуточного дежурного</v>
      </c>
      <c r="C38" s="286"/>
      <c r="D38" s="286"/>
      <c r="E38" s="286"/>
      <c r="F38" s="286"/>
      <c r="G38" s="286"/>
      <c r="H38" s="286"/>
      <c r="I38" s="286"/>
      <c r="J38" s="286"/>
      <c r="K38" s="286"/>
      <c r="L38" s="287"/>
      <c r="M38" s="119"/>
    </row>
    <row r="39" spans="1:13" x14ac:dyDescent="0.25">
      <c r="A39" s="114"/>
      <c r="B39" s="285" t="str">
        <f t="shared" si="2"/>
        <v>Помещение не оборудовано пожарной сигнализацией с выводом сигнала на пульт МЧС</v>
      </c>
      <c r="C39" s="286"/>
      <c r="D39" s="286"/>
      <c r="E39" s="286"/>
      <c r="F39" s="286"/>
      <c r="G39" s="286"/>
      <c r="H39" s="286"/>
      <c r="I39" s="286"/>
      <c r="J39" s="286"/>
      <c r="K39" s="286"/>
      <c r="L39" s="287"/>
      <c r="M39" s="119"/>
    </row>
    <row r="40" spans="1:13" x14ac:dyDescent="0.25">
      <c r="A40" s="114"/>
      <c r="B40" s="285" t="str">
        <f t="shared" si="2"/>
        <v>Отсутствие в помещении газовой плиты/колонки, камина, оборудования бани/сауны</v>
      </c>
      <c r="C40" s="286"/>
      <c r="D40" s="286"/>
      <c r="E40" s="286"/>
      <c r="F40" s="286"/>
      <c r="G40" s="286"/>
      <c r="H40" s="286"/>
      <c r="I40" s="286"/>
      <c r="J40" s="286"/>
      <c r="K40" s="286"/>
      <c r="L40" s="287"/>
      <c r="M40" s="119"/>
    </row>
    <row r="41" spans="1:13" x14ac:dyDescent="0.25">
      <c r="A41" s="114"/>
      <c r="B41" s="285" t="str">
        <f t="shared" si="2"/>
        <v>Помещение находится в здании без деревянных перекрытий</v>
      </c>
      <c r="C41" s="286"/>
      <c r="D41" s="286"/>
      <c r="E41" s="286"/>
      <c r="F41" s="286"/>
      <c r="G41" s="286"/>
      <c r="H41" s="286"/>
      <c r="I41" s="286"/>
      <c r="J41" s="286"/>
      <c r="K41" s="286"/>
      <c r="L41" s="287"/>
      <c r="M41" s="119"/>
    </row>
    <row r="42" spans="1:13" x14ac:dyDescent="0.25">
      <c r="A42" s="114"/>
      <c r="B42" s="285" t="str">
        <f>IF(B62=FALSE,E62,D62)</f>
        <v>В помещении не планируется проведение ремонтно-отделочных работ в период действия полиса</v>
      </c>
      <c r="C42" s="286"/>
      <c r="D42" s="286"/>
      <c r="E42" s="286"/>
      <c r="F42" s="286"/>
      <c r="G42" s="286"/>
      <c r="H42" s="286"/>
      <c r="I42" s="286"/>
      <c r="J42" s="286"/>
      <c r="K42" s="286"/>
      <c r="L42" s="287"/>
      <c r="M42" s="119"/>
    </row>
    <row r="43" spans="1:13" x14ac:dyDescent="0.25">
      <c r="A43" s="114"/>
      <c r="B43" s="285" t="str">
        <f>IF(B63=FALSE,D63,"")</f>
        <v>Помещение находится в охраняемом жилом комплексе с пропускной системой</v>
      </c>
      <c r="C43" s="286"/>
      <c r="D43" s="286"/>
      <c r="E43" s="286"/>
      <c r="F43" s="286"/>
      <c r="G43" s="286"/>
      <c r="H43" s="286"/>
      <c r="I43" s="286"/>
      <c r="J43" s="286"/>
      <c r="K43" s="286"/>
      <c r="L43" s="287"/>
      <c r="M43" s="119"/>
    </row>
    <row r="44" spans="1:13" x14ac:dyDescent="0.25">
      <c r="A44" s="114"/>
      <c r="B44" s="285" t="str">
        <f>IF(B64=TRUE,D64,"")</f>
        <v/>
      </c>
      <c r="C44" s="286"/>
      <c r="D44" s="286"/>
      <c r="E44" s="286"/>
      <c r="F44" s="286"/>
      <c r="G44" s="286"/>
      <c r="H44" s="286"/>
      <c r="I44" s="286"/>
      <c r="J44" s="286"/>
      <c r="K44" s="286"/>
      <c r="L44" s="287"/>
      <c r="M44" s="119"/>
    </row>
    <row r="45" spans="1:13" x14ac:dyDescent="0.25">
      <c r="A45" s="114"/>
      <c r="B45" s="288"/>
      <c r="C45" s="289"/>
      <c r="D45" s="289"/>
      <c r="E45" s="289"/>
      <c r="F45" s="289"/>
      <c r="G45" s="289"/>
      <c r="H45" s="289"/>
      <c r="I45" s="289"/>
      <c r="J45" s="289"/>
      <c r="K45" s="289"/>
      <c r="L45" s="290"/>
      <c r="M45" s="119"/>
    </row>
    <row r="46" spans="1:13" x14ac:dyDescent="0.25">
      <c r="A46" s="114"/>
      <c r="B46" s="288" t="str">
        <f>IF(C65="без перечня",D65,IF(C65="групповой",E65,IF(C65="предметный",F65,"")))</f>
        <v/>
      </c>
      <c r="C46" s="289"/>
      <c r="D46" s="289"/>
      <c r="E46" s="289"/>
      <c r="F46" s="289"/>
      <c r="G46" s="289"/>
      <c r="H46" s="289"/>
      <c r="I46" s="289"/>
      <c r="J46" s="289"/>
      <c r="K46" s="289"/>
      <c r="L46" s="290"/>
      <c r="M46" s="119"/>
    </row>
    <row r="47" spans="1:13" s="146" customFormat="1" x14ac:dyDescent="0.25">
      <c r="A47" s="307">
        <f>'Расчёт премии'!K23</f>
        <v>0</v>
      </c>
      <c r="B47" s="308"/>
      <c r="C47" s="201" t="str">
        <f>'Расчёт премии'!$O$23</f>
        <v/>
      </c>
      <c r="D47" s="202" t="s">
        <v>60</v>
      </c>
      <c r="E47" s="202"/>
      <c r="F47" s="202"/>
      <c r="G47" s="202"/>
      <c r="H47" s="202"/>
      <c r="I47" s="202"/>
      <c r="J47" s="202"/>
      <c r="K47" s="202"/>
      <c r="L47" s="203"/>
      <c r="M47" s="204"/>
    </row>
    <row r="48" spans="1:13" s="146" customFormat="1" x14ac:dyDescent="0.25">
      <c r="A48" s="307">
        <f>'Расчёт премии'!K25</f>
        <v>0</v>
      </c>
      <c r="B48" s="308"/>
      <c r="C48" s="205" t="str">
        <f>'Расчёт премии'!O25</f>
        <v/>
      </c>
      <c r="D48" s="202" t="s">
        <v>61</v>
      </c>
      <c r="E48" s="202"/>
      <c r="F48" s="202"/>
      <c r="G48" s="202"/>
      <c r="H48" s="202"/>
      <c r="I48" s="202"/>
      <c r="J48" s="202"/>
      <c r="K48" s="202"/>
      <c r="L48" s="203"/>
      <c r="M48" s="204"/>
    </row>
    <row r="49" spans="1:13" s="146" customFormat="1" x14ac:dyDescent="0.25">
      <c r="A49" s="307">
        <f>'Расчёт премии'!K26</f>
        <v>0</v>
      </c>
      <c r="B49" s="308"/>
      <c r="C49" s="205" t="str">
        <f>'Расчёт премии'!O26</f>
        <v/>
      </c>
      <c r="D49" s="202" t="s">
        <v>222</v>
      </c>
      <c r="E49" s="202"/>
      <c r="F49" s="202"/>
      <c r="G49" s="202"/>
      <c r="H49" s="202"/>
      <c r="I49" s="202"/>
      <c r="J49" s="202"/>
      <c r="K49" s="202"/>
      <c r="L49" s="203"/>
      <c r="M49" s="204"/>
    </row>
    <row r="50" spans="1:13" s="146" customFormat="1" x14ac:dyDescent="0.25">
      <c r="A50" s="307">
        <f>'Расчёт премии'!K28</f>
        <v>0</v>
      </c>
      <c r="B50" s="308"/>
      <c r="C50" s="205" t="str">
        <f>'Расчёт премии'!O28</f>
        <v/>
      </c>
      <c r="D50" s="202" t="s">
        <v>62</v>
      </c>
      <c r="E50" s="202"/>
      <c r="F50" s="202"/>
      <c r="G50" s="202"/>
      <c r="H50" s="202"/>
      <c r="I50" s="202"/>
      <c r="J50" s="202"/>
      <c r="K50" s="202"/>
      <c r="L50" s="203"/>
      <c r="M50" s="204"/>
    </row>
    <row r="51" spans="1:13" s="146" customFormat="1" x14ac:dyDescent="0.25">
      <c r="A51" s="307">
        <f>'Расчёт премии'!$K$29</f>
        <v>0</v>
      </c>
      <c r="B51" s="308"/>
      <c r="C51" s="205" t="str">
        <f>'Расчёт премии'!O29</f>
        <v/>
      </c>
      <c r="D51" s="202" t="s">
        <v>63</v>
      </c>
      <c r="E51" s="202"/>
      <c r="F51" s="202"/>
      <c r="G51" s="202"/>
      <c r="H51" s="202"/>
      <c r="I51" s="202"/>
      <c r="J51" s="202"/>
      <c r="K51" s="202"/>
      <c r="L51" s="203"/>
      <c r="M51" s="204"/>
    </row>
    <row r="52" spans="1:13" s="146" customFormat="1" x14ac:dyDescent="0.25">
      <c r="A52" s="307"/>
      <c r="B52" s="308"/>
      <c r="C52" s="201">
        <f>'Расчёт премии'!$B$24</f>
        <v>2</v>
      </c>
      <c r="D52" s="202"/>
      <c r="E52" s="202"/>
      <c r="F52" s="202"/>
      <c r="G52" s="202"/>
      <c r="H52" s="202"/>
      <c r="I52" s="202"/>
      <c r="J52" s="202"/>
      <c r="K52" s="202"/>
      <c r="L52" s="203"/>
      <c r="M52" s="204"/>
    </row>
    <row r="53" spans="1:13" s="146" customFormat="1" x14ac:dyDescent="0.25">
      <c r="A53" s="307">
        <f>'Расчёт премии'!$A$34</f>
        <v>0</v>
      </c>
      <c r="B53" s="308"/>
      <c r="C53" s="205">
        <f>'Расчёт премии'!$O$34</f>
        <v>0</v>
      </c>
      <c r="D53" s="328" t="s">
        <v>144</v>
      </c>
      <c r="E53" s="328"/>
      <c r="F53" s="328"/>
      <c r="G53" s="328"/>
      <c r="H53" s="328"/>
      <c r="I53" s="328"/>
      <c r="J53" s="328"/>
      <c r="K53" s="202" t="s">
        <v>239</v>
      </c>
      <c r="L53" s="203"/>
      <c r="M53" s="204"/>
    </row>
    <row r="54" spans="1:13" s="146" customFormat="1" x14ac:dyDescent="0.25">
      <c r="A54" s="307">
        <f>'Расчёт премии'!$B$38</f>
        <v>0</v>
      </c>
      <c r="B54" s="308"/>
      <c r="C54" s="205">
        <f>'Расчёт премии'!$B$39</f>
        <v>0</v>
      </c>
      <c r="D54" s="202" t="s">
        <v>147</v>
      </c>
      <c r="E54" s="202"/>
      <c r="F54" s="202"/>
      <c r="G54" s="202"/>
      <c r="H54" s="202"/>
      <c r="I54" s="202"/>
      <c r="J54" s="202"/>
      <c r="K54" s="202" t="s">
        <v>240</v>
      </c>
      <c r="L54" s="203"/>
      <c r="M54" s="204"/>
    </row>
    <row r="55" spans="1:13" s="146" customFormat="1" x14ac:dyDescent="0.25">
      <c r="A55" s="206">
        <f>'Расчёт премии'!$B$18</f>
        <v>0</v>
      </c>
      <c r="B55" s="202"/>
      <c r="C55" s="202"/>
      <c r="D55" s="202"/>
      <c r="E55" s="202"/>
      <c r="F55" s="202"/>
      <c r="G55" s="202"/>
      <c r="H55" s="202"/>
      <c r="I55" s="202"/>
      <c r="J55" s="202"/>
      <c r="K55" s="202" t="s">
        <v>241</v>
      </c>
      <c r="L55" s="203"/>
      <c r="M55" s="204"/>
    </row>
    <row r="56" spans="1:13" s="146" customFormat="1" x14ac:dyDescent="0.25">
      <c r="A56" s="145"/>
      <c r="B56" s="207"/>
      <c r="C56" s="207"/>
      <c r="D56" s="207"/>
      <c r="E56" s="207"/>
      <c r="F56" s="207"/>
      <c r="G56" s="207"/>
      <c r="H56" s="207"/>
      <c r="I56" s="207"/>
      <c r="J56" s="207"/>
      <c r="K56" s="207"/>
      <c r="L56" s="208"/>
      <c r="M56" s="209"/>
    </row>
    <row r="57" spans="1:13" s="146" customFormat="1" x14ac:dyDescent="0.25">
      <c r="A57" s="145"/>
      <c r="B57" s="202" t="b">
        <f>'Расчёт премии'!$H$54</f>
        <v>0</v>
      </c>
      <c r="C57" s="202" t="s">
        <v>177</v>
      </c>
      <c r="D57" s="210" t="s">
        <v>185</v>
      </c>
      <c r="E57" s="210" t="s">
        <v>186</v>
      </c>
      <c r="F57" s="207"/>
      <c r="G57" s="207"/>
      <c r="H57" s="207"/>
      <c r="I57" s="207"/>
      <c r="J57" s="207"/>
      <c r="K57" s="207"/>
      <c r="L57" s="208"/>
      <c r="M57" s="209"/>
    </row>
    <row r="58" spans="1:13" s="146" customFormat="1" x14ac:dyDescent="0.25">
      <c r="A58" s="145"/>
      <c r="B58" s="202" t="b">
        <f>'Расчёт премии'!$I$54</f>
        <v>0</v>
      </c>
      <c r="C58" s="202" t="s">
        <v>178</v>
      </c>
      <c r="D58" s="210" t="s">
        <v>187</v>
      </c>
      <c r="E58" s="210" t="s">
        <v>188</v>
      </c>
      <c r="F58" s="207"/>
      <c r="G58" s="207"/>
      <c r="H58" s="207"/>
      <c r="I58" s="207"/>
      <c r="J58" s="207"/>
      <c r="K58" s="207"/>
      <c r="L58" s="208"/>
      <c r="M58" s="209"/>
    </row>
    <row r="59" spans="1:13" s="146" customFormat="1" x14ac:dyDescent="0.25">
      <c r="A59" s="145"/>
      <c r="B59" s="202" t="b">
        <f>'Расчёт премии'!$J$54</f>
        <v>0</v>
      </c>
      <c r="C59" s="202" t="s">
        <v>179</v>
      </c>
      <c r="D59" s="210" t="s">
        <v>189</v>
      </c>
      <c r="E59" s="210" t="s">
        <v>190</v>
      </c>
      <c r="F59" s="207"/>
      <c r="G59" s="207"/>
      <c r="H59" s="207"/>
      <c r="I59" s="207"/>
      <c r="J59" s="207"/>
      <c r="K59" s="207"/>
      <c r="L59" s="208"/>
      <c r="M59" s="209"/>
    </row>
    <row r="60" spans="1:13" s="146" customFormat="1" x14ac:dyDescent="0.25">
      <c r="A60" s="145" t="s">
        <v>238</v>
      </c>
      <c r="B60" s="202" t="b">
        <f>'Расчёт премии'!$K$54</f>
        <v>0</v>
      </c>
      <c r="C60" s="202" t="s">
        <v>180</v>
      </c>
      <c r="D60" s="210" t="s">
        <v>191</v>
      </c>
      <c r="E60" s="210" t="s">
        <v>192</v>
      </c>
      <c r="F60" s="207"/>
      <c r="G60" s="207"/>
      <c r="H60" s="207"/>
      <c r="I60" s="207"/>
      <c r="J60" s="207"/>
      <c r="K60" s="207"/>
      <c r="L60" s="208"/>
      <c r="M60" s="209"/>
    </row>
    <row r="61" spans="1:13" s="146" customFormat="1" x14ac:dyDescent="0.25">
      <c r="A61" s="145"/>
      <c r="B61" s="202" t="b">
        <f>'Расчёт премии'!$M$54</f>
        <v>0</v>
      </c>
      <c r="C61" s="202" t="s">
        <v>181</v>
      </c>
      <c r="D61" s="210" t="s">
        <v>193</v>
      </c>
      <c r="E61" s="210" t="s">
        <v>194</v>
      </c>
      <c r="F61" s="207"/>
      <c r="G61" s="207"/>
      <c r="H61" s="207"/>
      <c r="I61" s="207"/>
      <c r="J61" s="207"/>
      <c r="K61" s="207"/>
      <c r="L61" s="208"/>
      <c r="M61" s="209"/>
    </row>
    <row r="62" spans="1:13" s="146" customFormat="1" x14ac:dyDescent="0.25">
      <c r="A62" s="145"/>
      <c r="B62" s="202" t="b">
        <f>'Расчёт премии'!$U$54</f>
        <v>0</v>
      </c>
      <c r="C62" s="202" t="s">
        <v>183</v>
      </c>
      <c r="D62" s="210" t="s">
        <v>205</v>
      </c>
      <c r="E62" s="210" t="s">
        <v>204</v>
      </c>
      <c r="F62" s="207"/>
      <c r="G62" s="207"/>
      <c r="H62" s="207"/>
      <c r="I62" s="207"/>
      <c r="J62" s="207"/>
      <c r="K62" s="207"/>
      <c r="L62" s="208"/>
      <c r="M62" s="209"/>
    </row>
    <row r="63" spans="1:13" s="146" customFormat="1" x14ac:dyDescent="0.25">
      <c r="A63" s="145"/>
      <c r="B63" s="202" t="b">
        <f>'Расчёт премии'!$N$54</f>
        <v>0</v>
      </c>
      <c r="C63" s="202" t="s">
        <v>182</v>
      </c>
      <c r="D63" s="210" t="s">
        <v>195</v>
      </c>
      <c r="E63" s="207"/>
      <c r="F63" s="207"/>
      <c r="G63" s="207"/>
      <c r="H63" s="207"/>
      <c r="I63" s="207"/>
      <c r="J63" s="207"/>
      <c r="K63" s="207"/>
      <c r="L63" s="208"/>
      <c r="M63" s="209"/>
    </row>
    <row r="64" spans="1:13" s="146" customFormat="1" x14ac:dyDescent="0.25">
      <c r="A64" s="145"/>
      <c r="B64" s="202" t="b">
        <f>'Расчёт премии'!$O$54</f>
        <v>0</v>
      </c>
      <c r="C64" s="202" t="s">
        <v>184</v>
      </c>
      <c r="D64" s="210" t="s">
        <v>196</v>
      </c>
      <c r="E64" s="207"/>
      <c r="F64" s="207"/>
      <c r="G64" s="207"/>
      <c r="H64" s="207"/>
      <c r="I64" s="207"/>
      <c r="J64" s="207"/>
      <c r="K64" s="207"/>
      <c r="L64" s="208"/>
      <c r="M64" s="209"/>
    </row>
    <row r="65" spans="1:13" s="146" customFormat="1" x14ac:dyDescent="0.25">
      <c r="A65" s="145"/>
      <c r="B65" s="202"/>
      <c r="C65" s="202">
        <f>'Расчёт премии'!$F$28</f>
        <v>0</v>
      </c>
      <c r="D65" s="210" t="s">
        <v>200</v>
      </c>
      <c r="E65" s="210" t="s">
        <v>197</v>
      </c>
      <c r="F65" s="210" t="s">
        <v>198</v>
      </c>
      <c r="G65" s="207"/>
      <c r="H65" s="207"/>
      <c r="I65" s="207"/>
      <c r="J65" s="207"/>
      <c r="K65" s="207"/>
      <c r="L65" s="208"/>
      <c r="M65" s="209"/>
    </row>
    <row r="66" spans="1:13" s="111" customFormat="1" x14ac:dyDescent="0.25">
      <c r="A66" s="145"/>
      <c r="B66" s="207"/>
      <c r="C66" s="207"/>
      <c r="D66" s="207"/>
      <c r="E66" s="207"/>
      <c r="F66" s="207"/>
      <c r="G66" s="207"/>
      <c r="H66" s="207"/>
      <c r="I66" s="207"/>
      <c r="J66" s="207"/>
      <c r="K66" s="207"/>
      <c r="L66" s="208"/>
      <c r="M66" s="209"/>
    </row>
    <row r="67" spans="1:13" s="111" customFormat="1" x14ac:dyDescent="0.25">
      <c r="A67" s="145"/>
      <c r="B67" s="336" t="s">
        <v>203</v>
      </c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209"/>
    </row>
    <row r="68" spans="1:13" s="111" customFormat="1" x14ac:dyDescent="0.25">
      <c r="A68" s="145"/>
      <c r="B68" s="336"/>
      <c r="C68" s="336"/>
      <c r="D68" s="336"/>
      <c r="E68" s="336"/>
      <c r="F68" s="336"/>
      <c r="G68" s="336"/>
      <c r="H68" s="336"/>
      <c r="I68" s="336"/>
      <c r="J68" s="336"/>
      <c r="K68" s="336"/>
      <c r="L68" s="336"/>
      <c r="M68" s="209"/>
    </row>
    <row r="69" spans="1:13" s="111" customFormat="1" x14ac:dyDescent="0.25">
      <c r="A69" s="114"/>
      <c r="B69" s="147"/>
      <c r="C69" s="147"/>
      <c r="D69" s="147"/>
      <c r="E69" s="147"/>
      <c r="F69" s="147"/>
      <c r="G69" s="147"/>
      <c r="H69" s="147"/>
      <c r="I69" s="147"/>
      <c r="J69" s="147"/>
      <c r="K69" s="147"/>
      <c r="L69" s="147"/>
      <c r="M69" s="119"/>
    </row>
    <row r="70" spans="1:13" x14ac:dyDescent="0.25">
      <c r="A70" s="114"/>
      <c r="B70" s="336" t="s">
        <v>209</v>
      </c>
      <c r="C70" s="336"/>
      <c r="D70" s="336"/>
      <c r="E70" s="336"/>
      <c r="F70" s="336"/>
      <c r="G70" s="336"/>
      <c r="H70" s="336"/>
      <c r="I70" s="336"/>
      <c r="J70" s="336"/>
      <c r="K70" s="336"/>
      <c r="L70" s="336"/>
      <c r="M70" s="119"/>
    </row>
    <row r="71" spans="1:13" x14ac:dyDescent="0.25">
      <c r="A71" s="114"/>
      <c r="B71" s="336"/>
      <c r="C71" s="336"/>
      <c r="D71" s="336"/>
      <c r="E71" s="336"/>
      <c r="F71" s="336"/>
      <c r="G71" s="336"/>
      <c r="H71" s="336"/>
      <c r="I71" s="336"/>
      <c r="J71" s="336"/>
      <c r="K71" s="336"/>
      <c r="L71" s="336"/>
      <c r="M71" s="119"/>
    </row>
    <row r="72" spans="1:13" x14ac:dyDescent="0.25">
      <c r="A72" s="114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6"/>
      <c r="M72" s="119"/>
    </row>
    <row r="73" spans="1:13" x14ac:dyDescent="0.25">
      <c r="A73" s="114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6"/>
      <c r="M73" s="119"/>
    </row>
    <row r="74" spans="1:13" x14ac:dyDescent="0.25">
      <c r="A74" s="114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6"/>
      <c r="M74" s="119"/>
    </row>
    <row r="75" spans="1:13" x14ac:dyDescent="0.25">
      <c r="A75" s="114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6"/>
      <c r="M75" s="119"/>
    </row>
    <row r="76" spans="1:13" x14ac:dyDescent="0.25">
      <c r="A76" s="114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6"/>
      <c r="M76" s="119"/>
    </row>
    <row r="77" spans="1:13" x14ac:dyDescent="0.25">
      <c r="A77" s="114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6"/>
      <c r="M77" s="119"/>
    </row>
    <row r="78" spans="1:13" x14ac:dyDescent="0.25">
      <c r="A78" s="114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6"/>
      <c r="M78" s="119"/>
    </row>
    <row r="79" spans="1:13" x14ac:dyDescent="0.25">
      <c r="A79" s="114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6"/>
      <c r="M79" s="119"/>
    </row>
    <row r="80" spans="1:13" x14ac:dyDescent="0.25">
      <c r="A80" s="114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6"/>
      <c r="M80" s="119"/>
    </row>
    <row r="81" spans="1:13" x14ac:dyDescent="0.25">
      <c r="A81" s="114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6"/>
      <c r="M81" s="119"/>
    </row>
    <row r="82" spans="1:13" x14ac:dyDescent="0.25">
      <c r="A82" s="114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6"/>
      <c r="M82" s="119"/>
    </row>
    <row r="83" spans="1:13" x14ac:dyDescent="0.25">
      <c r="A83" s="114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6"/>
      <c r="M83" s="119"/>
    </row>
    <row r="84" spans="1:13" x14ac:dyDescent="0.25">
      <c r="A84" s="114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6"/>
      <c r="M84" s="119"/>
    </row>
    <row r="85" spans="1:13" x14ac:dyDescent="0.25">
      <c r="A85" s="114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6"/>
      <c r="M85" s="119"/>
    </row>
    <row r="86" spans="1:13" x14ac:dyDescent="0.25">
      <c r="A86" s="114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6"/>
      <c r="M86" s="119"/>
    </row>
    <row r="87" spans="1:13" x14ac:dyDescent="0.25">
      <c r="A87" s="114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6"/>
      <c r="M87" s="119"/>
    </row>
    <row r="88" spans="1:13" x14ac:dyDescent="0.25">
      <c r="A88" s="114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6"/>
      <c r="M88" s="119"/>
    </row>
    <row r="89" spans="1:13" x14ac:dyDescent="0.25">
      <c r="A89" s="114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6"/>
      <c r="M89" s="119"/>
    </row>
    <row r="90" spans="1:13" x14ac:dyDescent="0.25">
      <c r="A90" s="120"/>
      <c r="B90" s="121"/>
      <c r="C90" s="121"/>
      <c r="D90" s="121"/>
      <c r="E90" s="121"/>
      <c r="F90" s="121"/>
      <c r="G90" s="121"/>
      <c r="H90" s="121"/>
      <c r="I90" s="121"/>
      <c r="J90" s="121"/>
      <c r="K90" s="121"/>
      <c r="L90" s="121"/>
      <c r="M90" s="122"/>
    </row>
    <row r="91" spans="1:13" x14ac:dyDescent="0.25"/>
    <row r="92" spans="1:13" x14ac:dyDescent="0.25"/>
    <row r="93" spans="1:13" x14ac:dyDescent="0.25"/>
    <row r="94" spans="1:13" x14ac:dyDescent="0.25"/>
  </sheetData>
  <mergeCells count="67">
    <mergeCell ref="B70:L71"/>
    <mergeCell ref="B67:L68"/>
    <mergeCell ref="C5:D5"/>
    <mergeCell ref="B12:L12"/>
    <mergeCell ref="E36:F36"/>
    <mergeCell ref="K36:L36"/>
    <mergeCell ref="B21:L21"/>
    <mergeCell ref="B25:L25"/>
    <mergeCell ref="B13:C15"/>
    <mergeCell ref="B16:C17"/>
    <mergeCell ref="D19:L20"/>
    <mergeCell ref="B18:C18"/>
    <mergeCell ref="D18:L18"/>
    <mergeCell ref="B19:C20"/>
    <mergeCell ref="D10:L10"/>
    <mergeCell ref="D13:L15"/>
    <mergeCell ref="A51:B51"/>
    <mergeCell ref="A47:B47"/>
    <mergeCell ref="A48:B48"/>
    <mergeCell ref="A49:B49"/>
    <mergeCell ref="A50:B50"/>
    <mergeCell ref="A54:B54"/>
    <mergeCell ref="B34:H34"/>
    <mergeCell ref="I27:J28"/>
    <mergeCell ref="K27:L28"/>
    <mergeCell ref="G35:H35"/>
    <mergeCell ref="I35:J35"/>
    <mergeCell ref="K35:L35"/>
    <mergeCell ref="I34:J34"/>
    <mergeCell ref="K34:L34"/>
    <mergeCell ref="I33:J33"/>
    <mergeCell ref="K33:L33"/>
    <mergeCell ref="D53:J53"/>
    <mergeCell ref="A52:B52"/>
    <mergeCell ref="A53:B53"/>
    <mergeCell ref="B30:H30"/>
    <mergeCell ref="B31:H31"/>
    <mergeCell ref="E5:J5"/>
    <mergeCell ref="E9:G9"/>
    <mergeCell ref="B7:L8"/>
    <mergeCell ref="B32:H32"/>
    <mergeCell ref="B33:H33"/>
    <mergeCell ref="B26:H26"/>
    <mergeCell ref="B27:H28"/>
    <mergeCell ref="K31:L31"/>
    <mergeCell ref="K32:L32"/>
    <mergeCell ref="K26:L26"/>
    <mergeCell ref="I29:J29"/>
    <mergeCell ref="I30:J30"/>
    <mergeCell ref="I31:J31"/>
    <mergeCell ref="I32:J32"/>
    <mergeCell ref="D16:L17"/>
    <mergeCell ref="I26:J26"/>
    <mergeCell ref="D11:L11"/>
    <mergeCell ref="B44:L44"/>
    <mergeCell ref="B45:L45"/>
    <mergeCell ref="B46:L46"/>
    <mergeCell ref="H36:J36"/>
    <mergeCell ref="B37:L37"/>
    <mergeCell ref="B38:L38"/>
    <mergeCell ref="B39:L39"/>
    <mergeCell ref="B40:L40"/>
    <mergeCell ref="B41:L41"/>
    <mergeCell ref="B43:L43"/>
    <mergeCell ref="K29:L29"/>
    <mergeCell ref="K30:L30"/>
    <mergeCell ref="B42:L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Макрос1123">
                <anchor moveWithCells="1" sizeWithCells="1">
                  <from>
                    <xdr:col>4</xdr:col>
                    <xdr:colOff>457200</xdr:colOff>
                    <xdr:row>0</xdr:row>
                    <xdr:rowOff>76200</xdr:rowOff>
                  </from>
                  <to>
                    <xdr:col>9</xdr:col>
                    <xdr:colOff>952500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DD18E-FE21-49EA-B601-3F4D5A8E560B}">
  <sheetPr codeName="Лист4">
    <tabColor rgb="FF00B0F0"/>
  </sheetPr>
  <dimension ref="A1:Z100"/>
  <sheetViews>
    <sheetView tabSelected="1" topLeftCell="A79" zoomScale="115" zoomScaleNormal="115" workbookViewId="0">
      <selection activeCell="Y83" sqref="Y83"/>
    </sheetView>
  </sheetViews>
  <sheetFormatPr defaultColWidth="0" defaultRowHeight="15" x14ac:dyDescent="0.25"/>
  <cols>
    <col min="1" max="1" width="3.5703125" customWidth="1"/>
    <col min="2" max="2" width="3.42578125" customWidth="1"/>
    <col min="3" max="3" width="3.5703125" customWidth="1"/>
    <col min="4" max="4" width="5" customWidth="1"/>
    <col min="5" max="5" width="4.7109375" customWidth="1"/>
    <col min="6" max="6" width="6" customWidth="1"/>
    <col min="7" max="7" width="4.85546875" customWidth="1"/>
    <col min="8" max="8" width="7.42578125" customWidth="1"/>
    <col min="9" max="9" width="5" customWidth="1"/>
    <col min="10" max="10" width="1.7109375" customWidth="1"/>
    <col min="11" max="12" width="3.140625" customWidth="1"/>
    <col min="13" max="13" width="5.42578125" customWidth="1"/>
    <col min="14" max="14" width="3.28515625" customWidth="1"/>
    <col min="15" max="15" width="5" customWidth="1"/>
    <col min="16" max="16" width="2.28515625" customWidth="1"/>
    <col min="17" max="17" width="3.85546875" customWidth="1"/>
    <col min="18" max="18" width="3" customWidth="1"/>
    <col min="19" max="19" width="5.7109375" customWidth="1"/>
    <col min="20" max="20" width="3.140625" customWidth="1"/>
    <col min="21" max="21" width="1.140625" customWidth="1"/>
    <col min="22" max="22" width="2.140625" customWidth="1"/>
    <col min="23" max="23" width="9.140625" customWidth="1"/>
    <col min="24" max="24" width="10.5703125" customWidth="1"/>
    <col min="25" max="26" width="9.140625" customWidth="1"/>
    <col min="27" max="16384" width="9.140625" hidden="1"/>
  </cols>
  <sheetData>
    <row r="1" spans="1:22" x14ac:dyDescent="0.25">
      <c r="A1" s="111"/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</row>
    <row r="2" spans="1:22" x14ac:dyDescent="0.25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</row>
    <row r="3" spans="1:22" ht="18" customHeight="1" x14ac:dyDescent="0.25">
      <c r="A3" s="111"/>
      <c r="B3" s="111"/>
      <c r="C3" s="111"/>
      <c r="D3" s="111"/>
      <c r="E3" s="111"/>
      <c r="F3" s="111"/>
      <c r="G3" s="111"/>
      <c r="H3" s="111"/>
      <c r="I3" s="130" t="s">
        <v>0</v>
      </c>
      <c r="J3" s="130"/>
      <c r="K3" s="130"/>
      <c r="L3" s="130"/>
      <c r="M3" s="130"/>
      <c r="N3" s="130"/>
      <c r="O3" s="130"/>
      <c r="P3" s="130"/>
      <c r="Q3" s="130"/>
      <c r="R3" s="130"/>
      <c r="S3" s="111"/>
      <c r="T3" s="111"/>
      <c r="U3" s="111"/>
      <c r="V3" s="111"/>
    </row>
    <row r="4" spans="1:22" ht="12" customHeight="1" x14ac:dyDescent="0.25">
      <c r="A4" s="480" t="s">
        <v>219</v>
      </c>
      <c r="B4" s="480"/>
      <c r="C4" s="480"/>
      <c r="D4" s="480"/>
      <c r="E4" s="480"/>
      <c r="F4" s="130" t="s">
        <v>157</v>
      </c>
      <c r="G4" s="456">
        <f>Данные!$B$15</f>
        <v>0</v>
      </c>
      <c r="H4" s="456"/>
      <c r="I4" s="456"/>
      <c r="J4" s="456"/>
      <c r="K4" s="456"/>
      <c r="L4" s="456"/>
      <c r="M4" s="456"/>
      <c r="N4" s="456"/>
      <c r="O4" s="130" t="s">
        <v>46</v>
      </c>
      <c r="P4" s="457" t="str">
        <f>IF(G4&gt;0,Данные!$B$16,"")</f>
        <v/>
      </c>
      <c r="Q4" s="457"/>
      <c r="R4" s="457"/>
      <c r="S4" s="457"/>
      <c r="T4" s="457"/>
      <c r="U4" s="111"/>
      <c r="V4" s="111"/>
    </row>
    <row r="5" spans="1:22" ht="12" customHeight="1" x14ac:dyDescent="0.25">
      <c r="A5" s="131" t="s">
        <v>158</v>
      </c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1"/>
      <c r="R5" s="111"/>
      <c r="S5" s="111"/>
      <c r="T5" s="111"/>
      <c r="U5" s="111"/>
      <c r="V5" s="111"/>
    </row>
    <row r="6" spans="1:22" ht="9" customHeight="1" x14ac:dyDescent="0.25">
      <c r="A6" s="132" t="s">
        <v>160</v>
      </c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  <c r="S6" s="111"/>
      <c r="T6" s="111"/>
      <c r="U6" s="111"/>
      <c r="V6" s="111"/>
    </row>
    <row r="7" spans="1:22" ht="7.5" customHeight="1" x14ac:dyDescent="0.25">
      <c r="A7" s="132" t="s">
        <v>159</v>
      </c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  <c r="V7" s="111"/>
    </row>
    <row r="8" spans="1:22" ht="12.75" customHeight="1" x14ac:dyDescent="0.25">
      <c r="A8" s="133" t="s">
        <v>161</v>
      </c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11"/>
      <c r="P8" s="111"/>
      <c r="Q8" s="111"/>
      <c r="R8" s="111"/>
      <c r="S8" s="111"/>
      <c r="T8" s="111"/>
      <c r="U8" s="111"/>
      <c r="V8" s="111"/>
    </row>
    <row r="9" spans="1:22" ht="9" customHeight="1" x14ac:dyDescent="0.25">
      <c r="A9" s="133" t="s">
        <v>162</v>
      </c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</row>
    <row r="10" spans="1:22" ht="11.25" customHeight="1" x14ac:dyDescent="0.25">
      <c r="A10" s="134" t="s">
        <v>163</v>
      </c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  <c r="P10" s="111"/>
      <c r="Q10" s="111"/>
      <c r="R10" s="111"/>
      <c r="S10" s="111"/>
      <c r="T10" s="111"/>
      <c r="U10" s="111"/>
      <c r="V10" s="111"/>
    </row>
    <row r="11" spans="1:22" ht="11.25" customHeight="1" x14ac:dyDescent="0.25">
      <c r="A11" s="477" t="s">
        <v>164</v>
      </c>
      <c r="B11" s="478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78"/>
      <c r="R11" s="478"/>
      <c r="S11" s="478"/>
      <c r="T11" s="478"/>
      <c r="U11" s="478"/>
      <c r="V11" s="479"/>
    </row>
    <row r="12" spans="1:22" x14ac:dyDescent="0.25">
      <c r="A12" s="524" t="s">
        <v>165</v>
      </c>
      <c r="B12" s="525"/>
      <c r="C12" s="526">
        <f>Данные!$B$2</f>
        <v>0</v>
      </c>
      <c r="D12" s="527"/>
      <c r="E12" s="527"/>
      <c r="F12" s="527"/>
      <c r="G12" s="527"/>
      <c r="H12" s="527"/>
      <c r="I12" s="527"/>
      <c r="J12" s="527"/>
      <c r="K12" s="527"/>
      <c r="L12" s="527"/>
      <c r="M12" s="528"/>
      <c r="N12" s="510" t="s">
        <v>166</v>
      </c>
      <c r="O12" s="511"/>
      <c r="P12" s="511"/>
      <c r="Q12" s="511"/>
      <c r="R12" s="512"/>
      <c r="S12" s="481">
        <f>Данные!$B$3</f>
        <v>0</v>
      </c>
      <c r="T12" s="482"/>
      <c r="U12" s="482"/>
      <c r="V12" s="483"/>
    </row>
    <row r="13" spans="1:22" x14ac:dyDescent="0.25">
      <c r="A13" s="162" t="s">
        <v>167</v>
      </c>
      <c r="B13" s="156"/>
      <c r="C13" s="155"/>
      <c r="D13" s="526">
        <f>Данные!$B$4</f>
        <v>0</v>
      </c>
      <c r="E13" s="527"/>
      <c r="F13" s="527"/>
      <c r="G13" s="527"/>
      <c r="H13" s="510" t="s">
        <v>168</v>
      </c>
      <c r="I13" s="511"/>
      <c r="J13" s="511"/>
      <c r="K13" s="511"/>
      <c r="L13" s="512"/>
      <c r="M13" s="529">
        <f>Данные!$B$5</f>
        <v>0</v>
      </c>
      <c r="N13" s="530"/>
      <c r="O13" s="530"/>
      <c r="P13" s="530"/>
      <c r="Q13" s="530"/>
      <c r="R13" s="530"/>
      <c r="S13" s="530"/>
      <c r="T13" s="530"/>
      <c r="U13" s="530"/>
      <c r="V13" s="531"/>
    </row>
    <row r="14" spans="1:22" ht="18.75" customHeight="1" x14ac:dyDescent="0.25">
      <c r="A14" s="461" t="s">
        <v>169</v>
      </c>
      <c r="B14" s="462"/>
      <c r="C14" s="462"/>
      <c r="D14" s="462"/>
      <c r="E14" s="462"/>
      <c r="F14" s="463"/>
      <c r="G14" s="473">
        <f>Данные!$B$6</f>
        <v>0</v>
      </c>
      <c r="H14" s="473"/>
      <c r="I14" s="473"/>
      <c r="J14" s="473"/>
      <c r="K14" s="473"/>
      <c r="L14" s="473"/>
      <c r="M14" s="473"/>
      <c r="N14" s="473"/>
      <c r="O14" s="473"/>
      <c r="P14" s="473"/>
      <c r="Q14" s="473"/>
      <c r="R14" s="473"/>
      <c r="S14" s="473"/>
      <c r="T14" s="473"/>
      <c r="U14" s="473"/>
      <c r="V14" s="474"/>
    </row>
    <row r="15" spans="1:22" x14ac:dyDescent="0.25">
      <c r="A15" s="467"/>
      <c r="B15" s="468"/>
      <c r="C15" s="468"/>
      <c r="D15" s="468"/>
      <c r="E15" s="468"/>
      <c r="F15" s="469"/>
      <c r="G15" s="475"/>
      <c r="H15" s="475"/>
      <c r="I15" s="475"/>
      <c r="J15" s="475"/>
      <c r="K15" s="475"/>
      <c r="L15" s="475"/>
      <c r="M15" s="475"/>
      <c r="N15" s="475"/>
      <c r="O15" s="475"/>
      <c r="P15" s="475"/>
      <c r="Q15" s="475"/>
      <c r="R15" s="475"/>
      <c r="S15" s="475"/>
      <c r="T15" s="475"/>
      <c r="U15" s="475"/>
      <c r="V15" s="476"/>
    </row>
    <row r="16" spans="1:22" x14ac:dyDescent="0.25">
      <c r="A16" s="477" t="s">
        <v>170</v>
      </c>
      <c r="B16" s="478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478"/>
      <c r="N16" s="478"/>
      <c r="O16" s="478"/>
      <c r="P16" s="478"/>
      <c r="Q16" s="478"/>
      <c r="R16" s="478"/>
      <c r="S16" s="478"/>
      <c r="T16" s="478"/>
      <c r="U16" s="478"/>
      <c r="V16" s="479"/>
    </row>
    <row r="17" spans="1:22" ht="15" customHeight="1" x14ac:dyDescent="0.25">
      <c r="A17" s="510" t="s">
        <v>50</v>
      </c>
      <c r="B17" s="511"/>
      <c r="C17" s="511"/>
      <c r="D17" s="512"/>
      <c r="E17" s="535">
        <f>Предложение!$E$9</f>
        <v>0</v>
      </c>
      <c r="F17" s="536"/>
      <c r="G17" s="536"/>
      <c r="H17" s="536"/>
      <c r="I17" s="536"/>
      <c r="J17" s="536"/>
      <c r="K17" s="537"/>
      <c r="L17" s="510" t="s">
        <v>174</v>
      </c>
      <c r="M17" s="511"/>
      <c r="N17" s="511"/>
      <c r="O17" s="511"/>
      <c r="P17" s="511"/>
      <c r="Q17" s="512"/>
      <c r="R17" s="526">
        <f>Предложение!$G$36</f>
        <v>0</v>
      </c>
      <c r="S17" s="527"/>
      <c r="T17" s="542" t="s">
        <v>173</v>
      </c>
      <c r="U17" s="543"/>
      <c r="V17" s="544"/>
    </row>
    <row r="18" spans="1:22" ht="16.5" customHeight="1" x14ac:dyDescent="0.25">
      <c r="A18" s="532" t="s">
        <v>171</v>
      </c>
      <c r="B18" s="533"/>
      <c r="C18" s="533"/>
      <c r="D18" s="534"/>
      <c r="E18" s="538">
        <f>Данные!$B$9</f>
        <v>0</v>
      </c>
      <c r="F18" s="538"/>
      <c r="G18" s="538"/>
      <c r="H18" s="538"/>
      <c r="I18" s="538"/>
      <c r="J18" s="538"/>
      <c r="K18" s="538"/>
      <c r="L18" s="538"/>
      <c r="M18" s="538"/>
      <c r="N18" s="538"/>
      <c r="O18" s="538"/>
      <c r="P18" s="538"/>
      <c r="Q18" s="538"/>
      <c r="R18" s="538"/>
      <c r="S18" s="538"/>
      <c r="T18" s="538"/>
      <c r="U18" s="538"/>
      <c r="V18" s="539"/>
    </row>
    <row r="19" spans="1:22" x14ac:dyDescent="0.25">
      <c r="A19" s="157"/>
      <c r="B19" s="158"/>
      <c r="C19" s="158"/>
      <c r="D19" s="158"/>
      <c r="E19" s="540"/>
      <c r="F19" s="540"/>
      <c r="G19" s="540"/>
      <c r="H19" s="540"/>
      <c r="I19" s="540"/>
      <c r="J19" s="540"/>
      <c r="K19" s="540"/>
      <c r="L19" s="540"/>
      <c r="M19" s="540"/>
      <c r="N19" s="540"/>
      <c r="O19" s="540"/>
      <c r="P19" s="540"/>
      <c r="Q19" s="540"/>
      <c r="R19" s="540"/>
      <c r="S19" s="540"/>
      <c r="T19" s="540"/>
      <c r="U19" s="540"/>
      <c r="V19" s="541"/>
    </row>
    <row r="20" spans="1:22" ht="14.25" customHeight="1" x14ac:dyDescent="0.25">
      <c r="A20" s="159"/>
      <c r="B20" s="160"/>
      <c r="C20" s="160"/>
      <c r="D20" s="160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6"/>
    </row>
    <row r="21" spans="1:22" ht="15" customHeight="1" x14ac:dyDescent="0.25">
      <c r="A21" s="458" t="s">
        <v>175</v>
      </c>
      <c r="B21" s="459"/>
      <c r="C21" s="459"/>
      <c r="D21" s="459"/>
      <c r="E21" s="459"/>
      <c r="F21" s="459"/>
      <c r="G21" s="459"/>
      <c r="H21" s="459"/>
      <c r="I21" s="459"/>
      <c r="J21" s="459"/>
      <c r="K21" s="459"/>
      <c r="L21" s="459"/>
      <c r="M21" s="459"/>
      <c r="N21" s="459"/>
      <c r="O21" s="459"/>
      <c r="P21" s="459"/>
      <c r="Q21" s="459"/>
      <c r="R21" s="459"/>
      <c r="S21" s="459"/>
      <c r="T21" s="459"/>
      <c r="U21" s="459"/>
      <c r="V21" s="460"/>
    </row>
    <row r="22" spans="1:22" ht="15" customHeight="1" x14ac:dyDescent="0.25">
      <c r="A22" s="461" t="str">
        <f>'Расчёт премии'!$F$19</f>
        <v/>
      </c>
      <c r="B22" s="462"/>
      <c r="C22" s="462"/>
      <c r="D22" s="462"/>
      <c r="E22" s="462"/>
      <c r="F22" s="462"/>
      <c r="G22" s="462"/>
      <c r="H22" s="462"/>
      <c r="I22" s="462"/>
      <c r="J22" s="462"/>
      <c r="K22" s="462"/>
      <c r="L22" s="462"/>
      <c r="M22" s="462"/>
      <c r="N22" s="462"/>
      <c r="O22" s="462"/>
      <c r="P22" s="462"/>
      <c r="Q22" s="462"/>
      <c r="R22" s="462"/>
      <c r="S22" s="462"/>
      <c r="T22" s="462"/>
      <c r="U22" s="462"/>
      <c r="V22" s="463"/>
    </row>
    <row r="23" spans="1:22" x14ac:dyDescent="0.25">
      <c r="A23" s="464"/>
      <c r="B23" s="465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5"/>
      <c r="N23" s="465"/>
      <c r="O23" s="465"/>
      <c r="P23" s="465"/>
      <c r="Q23" s="465"/>
      <c r="R23" s="465"/>
      <c r="S23" s="465"/>
      <c r="T23" s="465"/>
      <c r="U23" s="465"/>
      <c r="V23" s="466"/>
    </row>
    <row r="24" spans="1:22" ht="10.5" customHeight="1" x14ac:dyDescent="0.25">
      <c r="A24" s="467"/>
      <c r="B24" s="468"/>
      <c r="C24" s="468"/>
      <c r="D24" s="468"/>
      <c r="E24" s="468"/>
      <c r="F24" s="468"/>
      <c r="G24" s="468"/>
      <c r="H24" s="468"/>
      <c r="I24" s="468"/>
      <c r="J24" s="468"/>
      <c r="K24" s="468"/>
      <c r="L24" s="468"/>
      <c r="M24" s="468"/>
      <c r="N24" s="468"/>
      <c r="O24" s="468"/>
      <c r="P24" s="468"/>
      <c r="Q24" s="468"/>
      <c r="R24" s="468"/>
      <c r="S24" s="468"/>
      <c r="T24" s="468"/>
      <c r="U24" s="468"/>
      <c r="V24" s="469"/>
    </row>
    <row r="25" spans="1:22" ht="15" customHeight="1" x14ac:dyDescent="0.25">
      <c r="A25" s="377" t="s">
        <v>142</v>
      </c>
      <c r="B25" s="378"/>
      <c r="C25" s="378"/>
      <c r="D25" s="378"/>
      <c r="E25" s="378"/>
      <c r="F25" s="378"/>
      <c r="G25" s="378"/>
      <c r="H25" s="378"/>
      <c r="I25" s="378"/>
      <c r="J25" s="470" t="s">
        <v>45</v>
      </c>
      <c r="K25" s="471"/>
      <c r="L25" s="471"/>
      <c r="M25" s="471"/>
      <c r="N25" s="471"/>
      <c r="O25" s="471"/>
      <c r="P25" s="472"/>
      <c r="Q25" s="377" t="s">
        <v>65</v>
      </c>
      <c r="R25" s="378"/>
      <c r="S25" s="378"/>
      <c r="T25" s="378"/>
      <c r="U25" s="378"/>
      <c r="V25" s="379"/>
    </row>
    <row r="26" spans="1:22" ht="16.5" customHeight="1" x14ac:dyDescent="0.25">
      <c r="A26" s="493" t="str">
        <f>Предложение!$B$27</f>
        <v/>
      </c>
      <c r="B26" s="494"/>
      <c r="C26" s="494"/>
      <c r="D26" s="494"/>
      <c r="E26" s="494"/>
      <c r="F26" s="494"/>
      <c r="G26" s="494"/>
      <c r="H26" s="494"/>
      <c r="I26" s="495"/>
      <c r="J26" s="487" t="str">
        <f>IF(A26="","",Предложение!$I$27)</f>
        <v/>
      </c>
      <c r="K26" s="488"/>
      <c r="L26" s="488"/>
      <c r="M26" s="488"/>
      <c r="N26" s="488"/>
      <c r="O26" s="488"/>
      <c r="P26" s="489"/>
      <c r="Q26" s="502" t="str">
        <f>IF(A26="","",Предложение!$K$27)</f>
        <v/>
      </c>
      <c r="R26" s="503"/>
      <c r="S26" s="503"/>
      <c r="T26" s="503"/>
      <c r="U26" s="503"/>
      <c r="V26" s="504"/>
    </row>
    <row r="27" spans="1:22" ht="15" customHeight="1" x14ac:dyDescent="0.25">
      <c r="A27" s="496"/>
      <c r="B27" s="497"/>
      <c r="C27" s="497"/>
      <c r="D27" s="497"/>
      <c r="E27" s="497"/>
      <c r="F27" s="497"/>
      <c r="G27" s="497"/>
      <c r="H27" s="497"/>
      <c r="I27" s="498"/>
      <c r="J27" s="490"/>
      <c r="K27" s="491"/>
      <c r="L27" s="491"/>
      <c r="M27" s="491"/>
      <c r="N27" s="491"/>
      <c r="O27" s="491"/>
      <c r="P27" s="492"/>
      <c r="Q27" s="505"/>
      <c r="R27" s="506"/>
      <c r="S27" s="506"/>
      <c r="T27" s="506"/>
      <c r="U27" s="506"/>
      <c r="V27" s="507"/>
    </row>
    <row r="28" spans="1:22" x14ac:dyDescent="0.25">
      <c r="A28" s="499" t="str">
        <f>Предложение!$B$29</f>
        <v/>
      </c>
      <c r="B28" s="500"/>
      <c r="C28" s="500"/>
      <c r="D28" s="500"/>
      <c r="E28" s="500"/>
      <c r="F28" s="500"/>
      <c r="G28" s="500"/>
      <c r="H28" s="500"/>
      <c r="I28" s="501"/>
      <c r="J28" s="438" t="str">
        <f>IF(A28="","",Предложение!$I$29)</f>
        <v/>
      </c>
      <c r="K28" s="439"/>
      <c r="L28" s="439"/>
      <c r="M28" s="439"/>
      <c r="N28" s="439"/>
      <c r="O28" s="439"/>
      <c r="P28" s="440"/>
      <c r="Q28" s="435" t="str">
        <f>IF(A28="","",Предложение!K29)</f>
        <v/>
      </c>
      <c r="R28" s="436"/>
      <c r="S28" s="436"/>
      <c r="T28" s="436"/>
      <c r="U28" s="436"/>
      <c r="V28" s="437"/>
    </row>
    <row r="29" spans="1:22" x14ac:dyDescent="0.25">
      <c r="A29" s="499" t="str">
        <f>Предложение!$B$30</f>
        <v/>
      </c>
      <c r="B29" s="500"/>
      <c r="C29" s="500"/>
      <c r="D29" s="500"/>
      <c r="E29" s="500"/>
      <c r="F29" s="500"/>
      <c r="G29" s="500"/>
      <c r="H29" s="500"/>
      <c r="I29" s="501"/>
      <c r="J29" s="438" t="str">
        <f>IF(A29="","",Предложение!I30)</f>
        <v/>
      </c>
      <c r="K29" s="439"/>
      <c r="L29" s="439"/>
      <c r="M29" s="439"/>
      <c r="N29" s="439"/>
      <c r="O29" s="439"/>
      <c r="P29" s="440"/>
      <c r="Q29" s="435" t="str">
        <f>IF(A29="","",Предложение!K30)</f>
        <v/>
      </c>
      <c r="R29" s="436"/>
      <c r="S29" s="436"/>
      <c r="T29" s="436"/>
      <c r="U29" s="436"/>
      <c r="V29" s="437"/>
    </row>
    <row r="30" spans="1:22" x14ac:dyDescent="0.25">
      <c r="A30" s="499" t="str">
        <f>Предложение!B31</f>
        <v/>
      </c>
      <c r="B30" s="500"/>
      <c r="C30" s="500"/>
      <c r="D30" s="500"/>
      <c r="E30" s="500"/>
      <c r="F30" s="500"/>
      <c r="G30" s="500"/>
      <c r="H30" s="500"/>
      <c r="I30" s="501"/>
      <c r="J30" s="438" t="str">
        <f>IF(A30="","",Предложение!I31)</f>
        <v/>
      </c>
      <c r="K30" s="439"/>
      <c r="L30" s="439"/>
      <c r="M30" s="439"/>
      <c r="N30" s="439"/>
      <c r="O30" s="439"/>
      <c r="P30" s="440"/>
      <c r="Q30" s="435" t="str">
        <f>IF(A30="","",Предложение!K31)</f>
        <v/>
      </c>
      <c r="R30" s="436"/>
      <c r="S30" s="436"/>
      <c r="T30" s="436"/>
      <c r="U30" s="436"/>
      <c r="V30" s="437"/>
    </row>
    <row r="31" spans="1:22" x14ac:dyDescent="0.25">
      <c r="A31" s="499" t="str">
        <f>Предложение!B32</f>
        <v/>
      </c>
      <c r="B31" s="500"/>
      <c r="C31" s="500"/>
      <c r="D31" s="500"/>
      <c r="E31" s="500"/>
      <c r="F31" s="500"/>
      <c r="G31" s="500"/>
      <c r="H31" s="500"/>
      <c r="I31" s="501"/>
      <c r="J31" s="438" t="str">
        <f>IF(A31="","",Предложение!I32)</f>
        <v/>
      </c>
      <c r="K31" s="439"/>
      <c r="L31" s="439"/>
      <c r="M31" s="439"/>
      <c r="N31" s="439"/>
      <c r="O31" s="439"/>
      <c r="P31" s="440"/>
      <c r="Q31" s="435" t="str">
        <f>IF(A31="","",Предложение!K32)</f>
        <v/>
      </c>
      <c r="R31" s="436"/>
      <c r="S31" s="436"/>
      <c r="T31" s="436"/>
      <c r="U31" s="436"/>
      <c r="V31" s="437"/>
    </row>
    <row r="32" spans="1:22" x14ac:dyDescent="0.25">
      <c r="A32" s="450" t="s">
        <v>206</v>
      </c>
      <c r="B32" s="451"/>
      <c r="C32" s="451"/>
      <c r="D32" s="451"/>
      <c r="E32" s="451"/>
      <c r="F32" s="451"/>
      <c r="G32" s="451"/>
      <c r="H32" s="451"/>
      <c r="I32" s="452"/>
      <c r="J32" s="508">
        <f>IF(Q32=0,0,SUM(J26:P31))</f>
        <v>0</v>
      </c>
      <c r="K32" s="509"/>
      <c r="L32" s="509"/>
      <c r="M32" s="509"/>
      <c r="N32" s="509"/>
      <c r="O32" s="509"/>
      <c r="P32" s="191"/>
      <c r="Q32" s="453">
        <f>IF(SUM(Q26:V31)=0,0,SUM(Q26:V31))</f>
        <v>0</v>
      </c>
      <c r="R32" s="454"/>
      <c r="S32" s="454"/>
      <c r="T32" s="454"/>
      <c r="U32" s="454"/>
      <c r="V32" s="455"/>
    </row>
    <row r="33" spans="1:24" ht="15" customHeight="1" x14ac:dyDescent="0.25">
      <c r="A33" s="441" t="str">
        <f>Предложение!$D$16</f>
        <v>Без страхования гражданской ответственности</v>
      </c>
      <c r="B33" s="442"/>
      <c r="C33" s="442"/>
      <c r="D33" s="442"/>
      <c r="E33" s="442"/>
      <c r="F33" s="442"/>
      <c r="G33" s="442"/>
      <c r="H33" s="442"/>
      <c r="I33" s="442"/>
      <c r="J33" s="442"/>
      <c r="K33" s="442"/>
      <c r="L33" s="442"/>
      <c r="M33" s="442"/>
      <c r="N33" s="442"/>
      <c r="O33" s="442"/>
      <c r="P33" s="442"/>
      <c r="Q33" s="442"/>
      <c r="R33" s="442"/>
      <c r="S33" s="442"/>
      <c r="T33" s="442"/>
      <c r="U33" s="442"/>
      <c r="V33" s="443"/>
    </row>
    <row r="34" spans="1:24" ht="8.25" customHeight="1" x14ac:dyDescent="0.25">
      <c r="A34" s="444"/>
      <c r="B34" s="445"/>
      <c r="C34" s="445"/>
      <c r="D34" s="445"/>
      <c r="E34" s="445"/>
      <c r="F34" s="445"/>
      <c r="G34" s="445"/>
      <c r="H34" s="445"/>
      <c r="I34" s="445"/>
      <c r="J34" s="445"/>
      <c r="K34" s="445"/>
      <c r="L34" s="445"/>
      <c r="M34" s="445"/>
      <c r="N34" s="445"/>
      <c r="O34" s="445"/>
      <c r="P34" s="445"/>
      <c r="Q34" s="445"/>
      <c r="R34" s="445"/>
      <c r="S34" s="445"/>
      <c r="T34" s="445"/>
      <c r="U34" s="445"/>
      <c r="V34" s="446"/>
    </row>
    <row r="35" spans="1:24" x14ac:dyDescent="0.25">
      <c r="A35" s="377" t="s">
        <v>45</v>
      </c>
      <c r="B35" s="378"/>
      <c r="C35" s="378"/>
      <c r="D35" s="378"/>
      <c r="E35" s="378"/>
      <c r="F35" s="427">
        <f>IF(R35=0,0,Предложение!$A$53)</f>
        <v>0</v>
      </c>
      <c r="G35" s="428"/>
      <c r="H35" s="428"/>
      <c r="I35" s="428"/>
      <c r="J35" s="377" t="s">
        <v>65</v>
      </c>
      <c r="K35" s="378"/>
      <c r="L35" s="378"/>
      <c r="M35" s="378"/>
      <c r="N35" s="378"/>
      <c r="O35" s="378"/>
      <c r="P35" s="378"/>
      <c r="Q35" s="379"/>
      <c r="R35" s="447">
        <f>Предложение!$C$53</f>
        <v>0</v>
      </c>
      <c r="S35" s="448"/>
      <c r="T35" s="448"/>
      <c r="U35" s="448"/>
      <c r="V35" s="449"/>
    </row>
    <row r="36" spans="1:24" ht="12.75" customHeight="1" x14ac:dyDescent="0.25">
      <c r="A36" s="424" t="str">
        <f>Предложение!$D$19</f>
        <v>Непредвиденные расходы не застрахованы</v>
      </c>
      <c r="B36" s="425"/>
      <c r="C36" s="425"/>
      <c r="D36" s="425"/>
      <c r="E36" s="425"/>
      <c r="F36" s="425"/>
      <c r="G36" s="425"/>
      <c r="H36" s="425"/>
      <c r="I36" s="425"/>
      <c r="J36" s="425"/>
      <c r="K36" s="425"/>
      <c r="L36" s="425"/>
      <c r="M36" s="425"/>
      <c r="N36" s="425"/>
      <c r="O36" s="425"/>
      <c r="P36" s="425"/>
      <c r="Q36" s="425"/>
      <c r="R36" s="425"/>
      <c r="S36" s="425"/>
      <c r="T36" s="425"/>
      <c r="U36" s="425"/>
      <c r="V36" s="426"/>
    </row>
    <row r="37" spans="1:24" x14ac:dyDescent="0.25">
      <c r="A37" s="377" t="s">
        <v>45</v>
      </c>
      <c r="B37" s="378"/>
      <c r="C37" s="378"/>
      <c r="D37" s="378"/>
      <c r="E37" s="378"/>
      <c r="F37" s="427">
        <f>Предложение!$A$54</f>
        <v>0</v>
      </c>
      <c r="G37" s="428"/>
      <c r="H37" s="428"/>
      <c r="I37" s="428"/>
      <c r="J37" s="377" t="s">
        <v>65</v>
      </c>
      <c r="K37" s="378"/>
      <c r="L37" s="378"/>
      <c r="M37" s="378"/>
      <c r="N37" s="378"/>
      <c r="O37" s="378"/>
      <c r="P37" s="378"/>
      <c r="Q37" s="379"/>
      <c r="R37" s="429">
        <f>Предложение!$C$54</f>
        <v>0</v>
      </c>
      <c r="S37" s="430"/>
      <c r="T37" s="430"/>
      <c r="U37" s="430"/>
      <c r="V37" s="431"/>
    </row>
    <row r="38" spans="1:24" x14ac:dyDescent="0.25">
      <c r="A38" s="377" t="s">
        <v>207</v>
      </c>
      <c r="B38" s="378"/>
      <c r="C38" s="378"/>
      <c r="D38" s="378"/>
      <c r="E38" s="378"/>
      <c r="F38" s="378"/>
      <c r="G38" s="378"/>
      <c r="H38" s="378"/>
      <c r="I38" s="378"/>
      <c r="J38" s="378"/>
      <c r="K38" s="378"/>
      <c r="L38" s="378"/>
      <c r="M38" s="378"/>
      <c r="N38" s="378"/>
      <c r="O38" s="378"/>
      <c r="P38" s="378"/>
      <c r="Q38" s="378"/>
      <c r="R38" s="378"/>
      <c r="S38" s="378"/>
      <c r="T38" s="378"/>
      <c r="U38" s="378"/>
      <c r="V38" s="379"/>
    </row>
    <row r="39" spans="1:24" x14ac:dyDescent="0.25">
      <c r="A39" s="420" t="s">
        <v>136</v>
      </c>
      <c r="B39" s="421"/>
      <c r="C39" s="421"/>
      <c r="D39" s="421"/>
      <c r="E39" s="421"/>
      <c r="F39" s="422"/>
      <c r="G39" s="423"/>
      <c r="H39" s="432">
        <f>Q32+R35+R37</f>
        <v>0</v>
      </c>
      <c r="I39" s="433"/>
      <c r="J39" s="433"/>
      <c r="K39" s="433"/>
      <c r="L39" s="433"/>
      <c r="M39" s="433"/>
      <c r="N39" s="433"/>
      <c r="O39" s="434"/>
      <c r="P39" s="434"/>
      <c r="Q39" s="434"/>
      <c r="R39" s="148"/>
      <c r="S39" s="148"/>
      <c r="T39" s="148"/>
      <c r="U39" s="148"/>
      <c r="V39" s="149"/>
    </row>
    <row r="40" spans="1:24" x14ac:dyDescent="0.25">
      <c r="A40" s="420" t="s">
        <v>211</v>
      </c>
      <c r="B40" s="421"/>
      <c r="C40" s="421"/>
      <c r="D40" s="421"/>
      <c r="E40" s="421"/>
      <c r="F40" s="520"/>
      <c r="G40" s="510" t="s">
        <v>212</v>
      </c>
      <c r="H40" s="511"/>
      <c r="I40" s="512"/>
      <c r="J40" s="521" t="str">
        <f>IF(Данные!$B$13&gt;0,Данные!$B$13,"")</f>
        <v/>
      </c>
      <c r="K40" s="522"/>
      <c r="L40" s="522"/>
      <c r="M40" s="523"/>
      <c r="N40" s="510" t="s">
        <v>213</v>
      </c>
      <c r="O40" s="511"/>
      <c r="P40" s="511"/>
      <c r="Q40" s="511"/>
      <c r="R40" s="511"/>
      <c r="S40" s="521">
        <f>IF(J40=0,1,IF(Предложение!$D$11="24 месяца",EDATE(J40,24),IF(Предложение!$D$11="6 месяцев",EDATE(J40,6),IF(Предложение!$D$11="12 месяцев",EDATE(J40,12),IF(Предложение!$D$11="18 месяцев",EDATE(J40,18),IF(Предложение!$D$11="30 месяцев",EDATE(J40,30),IF(Предложение!$D$11="36 месяцев",EDATE(J40,36),1)))))))-1</f>
        <v>0</v>
      </c>
      <c r="T40" s="522"/>
      <c r="U40" s="522"/>
      <c r="V40" s="523"/>
      <c r="X40" s="192"/>
    </row>
    <row r="41" spans="1:24" ht="12.75" customHeight="1" x14ac:dyDescent="0.25">
      <c r="A41" s="377" t="s">
        <v>215</v>
      </c>
      <c r="B41" s="378"/>
      <c r="C41" s="378"/>
      <c r="D41" s="378"/>
      <c r="E41" s="378"/>
      <c r="F41" s="378"/>
      <c r="G41" s="378"/>
      <c r="H41" s="378"/>
      <c r="I41" s="378"/>
      <c r="J41" s="378"/>
      <c r="K41" s="378"/>
      <c r="L41" s="378"/>
      <c r="M41" s="378"/>
      <c r="N41" s="378"/>
      <c r="O41" s="378"/>
      <c r="P41" s="378"/>
      <c r="Q41" s="378"/>
      <c r="R41" s="378"/>
      <c r="S41" s="378"/>
      <c r="T41" s="378"/>
      <c r="U41" s="378"/>
      <c r="V41" s="379"/>
    </row>
    <row r="42" spans="1:24" ht="12" customHeight="1" x14ac:dyDescent="0.25">
      <c r="A42" s="560" t="str">
        <f>IF(Данные!$B$11&gt;0,Данные!$B$11,"")</f>
        <v/>
      </c>
      <c r="B42" s="561"/>
      <c r="C42" s="561"/>
      <c r="D42" s="561"/>
      <c r="E42" s="562"/>
      <c r="F42" s="510" t="s">
        <v>216</v>
      </c>
      <c r="G42" s="511"/>
      <c r="H42" s="511"/>
      <c r="I42" s="512"/>
      <c r="J42" s="484" t="str">
        <f>IF($A$42="Единовременно",Премияитог,IF(AND($A$42="Рассрочка",Данные!$B$12=2),Премияитог/2,IF(AND($A$42="Рассрочка",Данные!$B$12=3),Премияитог/3,IF(AND($A$42="Рассрочка",Данные!$B$12=4),Премияитог/4,""))))</f>
        <v/>
      </c>
      <c r="K42" s="485"/>
      <c r="L42" s="485"/>
      <c r="M42" s="486"/>
      <c r="N42" s="519" t="s">
        <v>217</v>
      </c>
      <c r="O42" s="519"/>
      <c r="P42" s="519"/>
      <c r="Q42" s="519"/>
      <c r="R42" s="519"/>
      <c r="S42" s="513" t="str">
        <f t="shared" ref="S42" si="0">$J$40</f>
        <v/>
      </c>
      <c r="T42" s="514"/>
      <c r="U42" s="514"/>
      <c r="V42" s="515"/>
    </row>
    <row r="43" spans="1:24" ht="12" customHeight="1" x14ac:dyDescent="0.25">
      <c r="A43" s="563"/>
      <c r="B43" s="564"/>
      <c r="C43" s="564"/>
      <c r="D43" s="564"/>
      <c r="E43" s="565"/>
      <c r="F43" s="510" t="b">
        <f>IF($A$42="Единовременно","",IF($A$42="Рассрочка","Взнос 2"))</f>
        <v>0</v>
      </c>
      <c r="G43" s="511"/>
      <c r="H43" s="511"/>
      <c r="I43" s="512"/>
      <c r="J43" s="484" t="str">
        <f>IF($A$42="Единовременно","",IF(AND($A$42="Рассрочка",Данные!$B$12=2),Премияитог/2,IF(AND($A$42="Рассрочка",Данные!$B$12=3),Премияитог/3,IF(AND($A$42="Рассрочка",Данные!$B$12=4),Премияитог/4,""))))</f>
        <v/>
      </c>
      <c r="K43" s="485"/>
      <c r="L43" s="485"/>
      <c r="M43" s="486"/>
      <c r="N43" s="519" t="s">
        <v>217</v>
      </c>
      <c r="O43" s="519"/>
      <c r="P43" s="519"/>
      <c r="Q43" s="519"/>
      <c r="R43" s="519"/>
      <c r="S43" s="513" t="str">
        <f>IF($A$42="Единовременно","",IF(OR($A$42="Рассрочка",Данные!$B$12=2,Данные!$B$12=3,Данные!$B$12=4),EDATE(S42,3),""))</f>
        <v/>
      </c>
      <c r="T43" s="514"/>
      <c r="U43" s="514"/>
      <c r="V43" s="515"/>
    </row>
    <row r="44" spans="1:24" ht="12.75" customHeight="1" x14ac:dyDescent="0.25">
      <c r="A44" s="563"/>
      <c r="B44" s="564"/>
      <c r="C44" s="564"/>
      <c r="D44" s="564"/>
      <c r="E44" s="565"/>
      <c r="F44" s="510" t="str">
        <f>IF($A$42="Единовременно","",IF(AND($A$42="Рассрочка",Данные!$B$12=3),"Взнос 3",IF(AND($A$42="Рассрочка",Данные!$B$12=4),"Взнос 3","")))</f>
        <v/>
      </c>
      <c r="G44" s="511"/>
      <c r="H44" s="511"/>
      <c r="I44" s="512"/>
      <c r="J44" s="484" t="str">
        <f>IF(OR($A$42="Единовременно",Данные!$B$12=2),"",IF(AND($A$42="Рассрочка",Данные!$B$12=3),Премияитог/3,IF(AND($A$42="Рассрочка",Данные!$B$12=4),Премияитог/4,"")))</f>
        <v/>
      </c>
      <c r="K44" s="485"/>
      <c r="L44" s="485"/>
      <c r="M44" s="486"/>
      <c r="N44" s="519" t="s">
        <v>217</v>
      </c>
      <c r="O44" s="519"/>
      <c r="P44" s="519"/>
      <c r="Q44" s="519"/>
      <c r="R44" s="519"/>
      <c r="S44" s="513" t="str">
        <f>IF(OR($A$42="Единовременно",Данные!$B$12=2),"",IF(OR($A$42="Рассрочка",Данные!$B$12=3,Данные!$B$12=4),EDATE(S42,6),""))</f>
        <v/>
      </c>
      <c r="T44" s="514"/>
      <c r="U44" s="514"/>
      <c r="V44" s="515"/>
    </row>
    <row r="45" spans="1:24" ht="11.25" customHeight="1" x14ac:dyDescent="0.25">
      <c r="A45" s="566"/>
      <c r="B45" s="567"/>
      <c r="C45" s="567"/>
      <c r="D45" s="567"/>
      <c r="E45" s="568"/>
      <c r="F45" s="510" t="str">
        <f>IF($A$42="Единовременно","",IF(AND($A$42="Рассрочка",Данные!$B$12=4),"Взнос 4",""))</f>
        <v/>
      </c>
      <c r="G45" s="511"/>
      <c r="H45" s="511"/>
      <c r="I45" s="512"/>
      <c r="J45" s="484" t="str">
        <f>IF(OR($A$42="Единовременно",Данные!$B$12=2,Данные!$B$12=3),"",IF(AND($A$42="Рассрочка",Данные!$B$12=4),Премияитог/4,""))</f>
        <v/>
      </c>
      <c r="K45" s="485"/>
      <c r="L45" s="485"/>
      <c r="M45" s="486"/>
      <c r="N45" s="519" t="s">
        <v>217</v>
      </c>
      <c r="O45" s="519"/>
      <c r="P45" s="519"/>
      <c r="Q45" s="519"/>
      <c r="R45" s="519"/>
      <c r="S45" s="513" t="str">
        <f>IF(OR($A$42="Единовременно",Данные!$B$12=2,Данные!$B$12=3),"",IF(OR($A$42="Рассрочка",Данные!$B$12=4),EDATE(S42,9),""))</f>
        <v/>
      </c>
      <c r="T45" s="514"/>
      <c r="U45" s="514"/>
      <c r="V45" s="515"/>
    </row>
    <row r="46" spans="1:24" ht="25.5" customHeight="1" x14ac:dyDescent="0.25">
      <c r="A46" s="493" t="s">
        <v>218</v>
      </c>
      <c r="B46" s="494"/>
      <c r="C46" s="494"/>
      <c r="D46" s="494"/>
      <c r="E46" s="494"/>
      <c r="F46" s="494"/>
      <c r="G46" s="494"/>
      <c r="H46" s="494"/>
      <c r="I46" s="494"/>
      <c r="J46" s="494"/>
      <c r="K46" s="494"/>
      <c r="L46" s="494"/>
      <c r="M46" s="494"/>
      <c r="N46" s="494"/>
      <c r="O46" s="494"/>
      <c r="P46" s="494"/>
      <c r="Q46" s="494"/>
      <c r="R46" s="494"/>
      <c r="S46" s="494"/>
      <c r="T46" s="494"/>
      <c r="U46" s="494"/>
      <c r="V46" s="495"/>
    </row>
    <row r="47" spans="1:24" ht="20.25" customHeight="1" x14ac:dyDescent="0.25">
      <c r="A47" s="516"/>
      <c r="B47" s="517"/>
      <c r="C47" s="517"/>
      <c r="D47" s="517"/>
      <c r="E47" s="517"/>
      <c r="F47" s="517"/>
      <c r="G47" s="517"/>
      <c r="H47" s="517"/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 s="517"/>
      <c r="T47" s="517"/>
      <c r="U47" s="517"/>
      <c r="V47" s="518"/>
    </row>
    <row r="48" spans="1:24" ht="15" customHeight="1" x14ac:dyDescent="0.25">
      <c r="A48" s="380" t="s">
        <v>220</v>
      </c>
      <c r="B48" s="381"/>
      <c r="C48" s="381"/>
      <c r="D48" s="381"/>
      <c r="E48" s="381"/>
      <c r="F48" s="381"/>
      <c r="G48" s="381"/>
      <c r="H48" s="381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S48" s="381"/>
      <c r="T48" s="381"/>
      <c r="U48" s="381"/>
      <c r="V48" s="382"/>
    </row>
    <row r="49" spans="1:26" x14ac:dyDescent="0.25">
      <c r="A49" s="167" t="s">
        <v>221</v>
      </c>
      <c r="B49" s="138"/>
      <c r="C49" s="138"/>
      <c r="D49" s="138"/>
      <c r="E49" s="138"/>
      <c r="F49" s="138"/>
      <c r="G49" s="138"/>
      <c r="H49" s="138"/>
      <c r="I49" s="138"/>
      <c r="J49" s="152" t="str">
        <f>Предложение!$G$22</f>
        <v/>
      </c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9"/>
    </row>
    <row r="50" spans="1:26" x14ac:dyDescent="0.25">
      <c r="A50" s="163" t="s">
        <v>155</v>
      </c>
      <c r="B50" s="150"/>
      <c r="C50" s="150"/>
      <c r="D50" s="150"/>
      <c r="E50" s="150"/>
      <c r="F50" s="150"/>
      <c r="G50" s="150"/>
      <c r="H50" s="150"/>
      <c r="I50" s="153"/>
      <c r="J50" s="153" t="str">
        <f>Предложение!$G$23</f>
        <v/>
      </c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1"/>
    </row>
    <row r="51" spans="1:26" s="153" customFormat="1" ht="11.25" customHeight="1" x14ac:dyDescent="0.25">
      <c r="A51" s="164" t="str">
        <f>Предложение!$G$24</f>
        <v/>
      </c>
      <c r="V51" s="154"/>
      <c r="W51"/>
      <c r="X51"/>
      <c r="Y51"/>
      <c r="Z51"/>
    </row>
    <row r="52" spans="1:26" ht="15.75" customHeight="1" x14ac:dyDescent="0.25">
      <c r="A52" s="163" t="s">
        <v>233</v>
      </c>
      <c r="B52" s="116"/>
      <c r="C52" s="116"/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25"/>
    </row>
    <row r="53" spans="1:26" x14ac:dyDescent="0.25">
      <c r="A53" s="169"/>
      <c r="B53" s="116"/>
      <c r="C53" s="116"/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25"/>
    </row>
    <row r="54" spans="1:26" x14ac:dyDescent="0.25">
      <c r="A54" s="171" t="s">
        <v>235</v>
      </c>
      <c r="B54" s="170"/>
      <c r="C54" s="170"/>
      <c r="D54" s="170"/>
      <c r="E54" s="172" t="s">
        <v>234</v>
      </c>
      <c r="F54" s="170"/>
      <c r="G54" s="170"/>
      <c r="H54" s="170"/>
      <c r="I54" s="572">
        <f t="shared" ref="I54" si="1">$G$4</f>
        <v>0</v>
      </c>
      <c r="J54" s="573"/>
      <c r="K54" s="573"/>
      <c r="L54" s="573"/>
      <c r="M54" s="573"/>
      <c r="N54" s="573"/>
      <c r="O54" s="574"/>
      <c r="P54" s="570" t="s">
        <v>46</v>
      </c>
      <c r="Q54" s="571"/>
      <c r="R54" s="575" t="str">
        <f t="shared" ref="R54" si="2">$P$4</f>
        <v/>
      </c>
      <c r="S54" s="576"/>
      <c r="T54" s="576"/>
      <c r="U54" s="576"/>
      <c r="V54" s="577"/>
    </row>
    <row r="55" spans="1:26" x14ac:dyDescent="0.25">
      <c r="A55" s="569" t="s">
        <v>236</v>
      </c>
      <c r="B55" s="552"/>
      <c r="C55" s="552"/>
      <c r="D55" s="552"/>
      <c r="E55" s="552"/>
      <c r="F55" s="552"/>
      <c r="G55" s="552"/>
      <c r="H55" s="552"/>
      <c r="I55" s="552"/>
      <c r="J55" s="552"/>
      <c r="K55" s="552"/>
      <c r="L55" s="552"/>
      <c r="M55" s="552"/>
      <c r="N55" s="552"/>
      <c r="O55" s="552"/>
      <c r="P55" s="552"/>
      <c r="Q55" s="552"/>
      <c r="R55" s="552"/>
      <c r="S55" s="552"/>
      <c r="T55" s="552"/>
      <c r="U55" s="552"/>
      <c r="V55" s="553"/>
    </row>
    <row r="56" spans="1:26" ht="8.25" customHeight="1" x14ac:dyDescent="0.25">
      <c r="A56" s="554"/>
      <c r="B56" s="555"/>
      <c r="C56" s="555"/>
      <c r="D56" s="555"/>
      <c r="E56" s="555"/>
      <c r="F56" s="555"/>
      <c r="G56" s="555"/>
      <c r="H56" s="555"/>
      <c r="I56" s="555"/>
      <c r="J56" s="555"/>
      <c r="K56" s="555"/>
      <c r="L56" s="555"/>
      <c r="M56" s="555"/>
      <c r="N56" s="555"/>
      <c r="O56" s="555"/>
      <c r="P56" s="555"/>
      <c r="Q56" s="555"/>
      <c r="R56" s="555"/>
      <c r="S56" s="555"/>
      <c r="T56" s="555"/>
      <c r="U56" s="555"/>
      <c r="V56" s="556"/>
    </row>
    <row r="57" spans="1:26" ht="15" customHeight="1" x14ac:dyDescent="0.25">
      <c r="A57" s="569" t="s">
        <v>237</v>
      </c>
      <c r="B57" s="552"/>
      <c r="C57" s="552"/>
      <c r="D57" s="552"/>
      <c r="E57" s="552"/>
      <c r="F57" s="552"/>
      <c r="G57" s="552"/>
      <c r="H57" s="552"/>
      <c r="I57" s="552"/>
      <c r="J57" s="552"/>
      <c r="K57" s="552"/>
      <c r="L57" s="552"/>
      <c r="M57" s="552"/>
      <c r="N57" s="552"/>
      <c r="O57" s="552"/>
      <c r="P57" s="552"/>
      <c r="Q57" s="552"/>
      <c r="R57" s="552"/>
      <c r="S57" s="552"/>
      <c r="T57" s="552"/>
      <c r="U57" s="552"/>
      <c r="V57" s="553"/>
    </row>
    <row r="58" spans="1:26" ht="9" customHeight="1" x14ac:dyDescent="0.25">
      <c r="A58" s="554"/>
      <c r="B58" s="555"/>
      <c r="C58" s="555"/>
      <c r="D58" s="555"/>
      <c r="E58" s="555"/>
      <c r="F58" s="555"/>
      <c r="G58" s="555"/>
      <c r="H58" s="555"/>
      <c r="I58" s="555"/>
      <c r="J58" s="555"/>
      <c r="K58" s="555"/>
      <c r="L58" s="555"/>
      <c r="M58" s="555"/>
      <c r="N58" s="555"/>
      <c r="O58" s="555"/>
      <c r="P58" s="555"/>
      <c r="Q58" s="555"/>
      <c r="R58" s="555"/>
      <c r="S58" s="555"/>
      <c r="T58" s="555"/>
      <c r="U58" s="555"/>
      <c r="V58" s="556"/>
    </row>
    <row r="59" spans="1:26" ht="16.5" customHeight="1" x14ac:dyDescent="0.25">
      <c r="A59" s="551" t="str">
        <f>IF(R35=0,""," - при страховании гражданской ответственности  -  третьи лица, вред жизни, здоровью и/или имуществу которых причинен в результате эксплуатации имущества на территории страховании")</f>
        <v/>
      </c>
      <c r="B59" s="552"/>
      <c r="C59" s="552"/>
      <c r="D59" s="552"/>
      <c r="E59" s="552"/>
      <c r="F59" s="552"/>
      <c r="G59" s="552"/>
      <c r="H59" s="552"/>
      <c r="I59" s="552"/>
      <c r="J59" s="552"/>
      <c r="K59" s="552"/>
      <c r="L59" s="552"/>
      <c r="M59" s="552"/>
      <c r="N59" s="552"/>
      <c r="O59" s="552"/>
      <c r="P59" s="552"/>
      <c r="Q59" s="552"/>
      <c r="R59" s="552"/>
      <c r="S59" s="552"/>
      <c r="T59" s="552"/>
      <c r="U59" s="552"/>
      <c r="V59" s="553"/>
    </row>
    <row r="60" spans="1:26" ht="9" customHeight="1" x14ac:dyDescent="0.25">
      <c r="A60" s="554"/>
      <c r="B60" s="555"/>
      <c r="C60" s="555"/>
      <c r="D60" s="555"/>
      <c r="E60" s="555"/>
      <c r="F60" s="555"/>
      <c r="G60" s="555"/>
      <c r="H60" s="555"/>
      <c r="I60" s="555"/>
      <c r="J60" s="555"/>
      <c r="K60" s="555"/>
      <c r="L60" s="555"/>
      <c r="M60" s="555"/>
      <c r="N60" s="555"/>
      <c r="O60" s="555"/>
      <c r="P60" s="555"/>
      <c r="Q60" s="555"/>
      <c r="R60" s="555"/>
      <c r="S60" s="555"/>
      <c r="T60" s="555"/>
      <c r="U60" s="555"/>
      <c r="V60" s="556"/>
    </row>
    <row r="61" spans="1:26" x14ac:dyDescent="0.25">
      <c r="A61" s="551" t="str">
        <f>IF(R37=0,"","- при страховании непредвиденных расходов  -  физическое лицо, проживающее на территории страхования на законных основаниях")</f>
        <v/>
      </c>
      <c r="B61" s="552"/>
      <c r="C61" s="552"/>
      <c r="D61" s="552"/>
      <c r="E61" s="552"/>
      <c r="F61" s="552"/>
      <c r="G61" s="552"/>
      <c r="H61" s="552"/>
      <c r="I61" s="552"/>
      <c r="J61" s="552"/>
      <c r="K61" s="552"/>
      <c r="L61" s="552"/>
      <c r="M61" s="552"/>
      <c r="N61" s="552"/>
      <c r="O61" s="552"/>
      <c r="P61" s="552"/>
      <c r="Q61" s="552"/>
      <c r="R61" s="552"/>
      <c r="S61" s="552"/>
      <c r="T61" s="552"/>
      <c r="U61" s="552"/>
      <c r="V61" s="553"/>
    </row>
    <row r="62" spans="1:26" ht="6.75" customHeight="1" x14ac:dyDescent="0.25">
      <c r="A62" s="557"/>
      <c r="B62" s="558"/>
      <c r="C62" s="558"/>
      <c r="D62" s="558"/>
      <c r="E62" s="558"/>
      <c r="F62" s="558"/>
      <c r="G62" s="558"/>
      <c r="H62" s="558"/>
      <c r="I62" s="558"/>
      <c r="J62" s="558"/>
      <c r="K62" s="558"/>
      <c r="L62" s="558"/>
      <c r="M62" s="558"/>
      <c r="N62" s="558"/>
      <c r="O62" s="558"/>
      <c r="P62" s="558"/>
      <c r="Q62" s="558"/>
      <c r="R62" s="558"/>
      <c r="S62" s="558"/>
      <c r="T62" s="558"/>
      <c r="U62" s="558"/>
      <c r="V62" s="559"/>
    </row>
    <row r="63" spans="1:26" x14ac:dyDescent="0.25">
      <c r="A63" s="545" t="str">
        <f>IF(F37=50000,Предложение!$K$53,IF(F37=100000,Предложение!$K$54,""))</f>
        <v/>
      </c>
      <c r="B63" s="546"/>
      <c r="C63" s="546"/>
      <c r="D63" s="546"/>
      <c r="E63" s="546"/>
      <c r="F63" s="546"/>
      <c r="G63" s="546"/>
      <c r="H63" s="546"/>
      <c r="I63" s="546"/>
      <c r="J63" s="546"/>
      <c r="K63" s="546"/>
      <c r="L63" s="546"/>
      <c r="M63" s="546"/>
      <c r="N63" s="546"/>
      <c r="O63" s="546"/>
      <c r="P63" s="546"/>
      <c r="Q63" s="546"/>
      <c r="R63" s="546"/>
      <c r="S63" s="546"/>
      <c r="T63" s="546"/>
      <c r="U63" s="546"/>
      <c r="V63" s="547"/>
    </row>
    <row r="64" spans="1:26" x14ac:dyDescent="0.25">
      <c r="A64" s="548"/>
      <c r="B64" s="549"/>
      <c r="C64" s="549"/>
      <c r="D64" s="549"/>
      <c r="E64" s="549"/>
      <c r="F64" s="549"/>
      <c r="G64" s="549"/>
      <c r="H64" s="549"/>
      <c r="I64" s="549"/>
      <c r="J64" s="549"/>
      <c r="K64" s="549"/>
      <c r="L64" s="549"/>
      <c r="M64" s="549"/>
      <c r="N64" s="549"/>
      <c r="O64" s="549"/>
      <c r="P64" s="549"/>
      <c r="Q64" s="549"/>
      <c r="R64" s="549"/>
      <c r="S64" s="549"/>
      <c r="T64" s="549"/>
      <c r="U64" s="549"/>
      <c r="V64" s="550"/>
    </row>
    <row r="65" spans="1:22" ht="22.5" customHeight="1" x14ac:dyDescent="0.25">
      <c r="A65" s="548"/>
      <c r="B65" s="549"/>
      <c r="C65" s="549"/>
      <c r="D65" s="549"/>
      <c r="E65" s="549"/>
      <c r="F65" s="549"/>
      <c r="G65" s="549"/>
      <c r="H65" s="549"/>
      <c r="I65" s="549"/>
      <c r="J65" s="549"/>
      <c r="K65" s="549"/>
      <c r="L65" s="549"/>
      <c r="M65" s="549"/>
      <c r="N65" s="549"/>
      <c r="O65" s="549"/>
      <c r="P65" s="549"/>
      <c r="Q65" s="549"/>
      <c r="R65" s="549"/>
      <c r="S65" s="549"/>
      <c r="T65" s="549"/>
      <c r="U65" s="549"/>
      <c r="V65" s="550"/>
    </row>
    <row r="66" spans="1:22" ht="15.75" customHeight="1" x14ac:dyDescent="0.25">
      <c r="A66" s="193" t="str">
        <f>IF(F37=100000,Предложение!$K$55,"")</f>
        <v/>
      </c>
      <c r="B66" s="170"/>
      <c r="C66" s="170"/>
      <c r="D66" s="170"/>
      <c r="E66" s="170"/>
      <c r="F66" s="170"/>
      <c r="G66" s="170"/>
      <c r="H66" s="170"/>
      <c r="I66" s="170"/>
      <c r="J66" s="170"/>
      <c r="K66" s="170"/>
      <c r="L66" s="170"/>
      <c r="M66" s="170"/>
      <c r="N66" s="170"/>
      <c r="O66" s="170"/>
      <c r="P66" s="170"/>
      <c r="Q66" s="170"/>
      <c r="R66" s="170"/>
      <c r="S66" s="194" t="str">
        <f>IF(F37&lt;100000,"",IF(AND(S40-J40&gt;182,S40-J40&lt;366),1,IF(AND(S40-J40&gt;545,S40-J40&lt;730),2,IF(S40-J40&gt;912,3,""))))</f>
        <v/>
      </c>
      <c r="T66" s="397"/>
      <c r="U66" s="397"/>
      <c r="V66" s="398"/>
    </row>
    <row r="67" spans="1:22" ht="15.75" customHeight="1" x14ac:dyDescent="0.25">
      <c r="A67" s="405" t="str">
        <f>IF('Расчёт премии'!$B$20="Пакет 3","По риску «Конструктивные дефекты» по каждому страховому случаю по конструктивным элементам застрахованного объекта недвижимости устанавливается безусловная франшиза в размере 50% от страховой суммы.","")</f>
        <v/>
      </c>
      <c r="B67" s="406"/>
      <c r="C67" s="406"/>
      <c r="D67" s="406"/>
      <c r="E67" s="406"/>
      <c r="F67" s="406"/>
      <c r="G67" s="406"/>
      <c r="H67" s="406"/>
      <c r="I67" s="406"/>
      <c r="J67" s="406"/>
      <c r="K67" s="406"/>
      <c r="L67" s="406"/>
      <c r="M67" s="406"/>
      <c r="N67" s="406"/>
      <c r="O67" s="406"/>
      <c r="P67" s="406"/>
      <c r="Q67" s="406"/>
      <c r="R67" s="406"/>
      <c r="S67" s="406"/>
      <c r="T67" s="406"/>
      <c r="U67" s="406"/>
      <c r="V67" s="407"/>
    </row>
    <row r="68" spans="1:22" ht="17.25" customHeight="1" x14ac:dyDescent="0.25">
      <c r="A68" s="408"/>
      <c r="B68" s="409"/>
      <c r="C68" s="409"/>
      <c r="D68" s="409"/>
      <c r="E68" s="409"/>
      <c r="F68" s="409"/>
      <c r="G68" s="409"/>
      <c r="H68" s="409"/>
      <c r="I68" s="409"/>
      <c r="J68" s="409"/>
      <c r="K68" s="409"/>
      <c r="L68" s="409"/>
      <c r="M68" s="409"/>
      <c r="N68" s="409"/>
      <c r="O68" s="409"/>
      <c r="P68" s="409"/>
      <c r="Q68" s="409"/>
      <c r="R68" s="409"/>
      <c r="S68" s="409"/>
      <c r="T68" s="409"/>
      <c r="U68" s="409"/>
      <c r="V68" s="410"/>
    </row>
    <row r="69" spans="1:22" ht="28.5" customHeight="1" x14ac:dyDescent="0.25">
      <c r="A69" s="399" t="s">
        <v>242</v>
      </c>
      <c r="B69" s="400"/>
      <c r="C69" s="400"/>
      <c r="D69" s="400"/>
      <c r="E69" s="400"/>
      <c r="F69" s="400"/>
      <c r="G69" s="400"/>
      <c r="H69" s="400"/>
      <c r="I69" s="400"/>
      <c r="J69" s="400"/>
      <c r="K69" s="400"/>
      <c r="L69" s="400"/>
      <c r="M69" s="400"/>
      <c r="N69" s="400"/>
      <c r="O69" s="400"/>
      <c r="P69" s="400"/>
      <c r="Q69" s="400"/>
      <c r="R69" s="400"/>
      <c r="S69" s="400"/>
      <c r="T69" s="400"/>
      <c r="U69" s="400"/>
      <c r="V69" s="401"/>
    </row>
    <row r="70" spans="1:22" x14ac:dyDescent="0.25">
      <c r="A70" s="402"/>
      <c r="B70" s="403"/>
      <c r="C70" s="403"/>
      <c r="D70" s="403"/>
      <c r="E70" s="403"/>
      <c r="F70" s="403"/>
      <c r="G70" s="403"/>
      <c r="H70" s="403"/>
      <c r="I70" s="403"/>
      <c r="J70" s="403"/>
      <c r="K70" s="403"/>
      <c r="L70" s="403"/>
      <c r="M70" s="403"/>
      <c r="N70" s="403"/>
      <c r="O70" s="403"/>
      <c r="P70" s="403"/>
      <c r="Q70" s="403"/>
      <c r="R70" s="403"/>
      <c r="S70" s="403"/>
      <c r="T70" s="403"/>
      <c r="U70" s="403"/>
      <c r="V70" s="404"/>
    </row>
    <row r="71" spans="1:22" ht="15.75" customHeight="1" x14ac:dyDescent="0.25">
      <c r="A71" s="411" t="s">
        <v>243</v>
      </c>
      <c r="B71" s="412"/>
      <c r="C71" s="412"/>
      <c r="D71" s="412"/>
      <c r="E71" s="412"/>
      <c r="F71" s="412"/>
      <c r="G71" s="412"/>
      <c r="H71" s="412"/>
      <c r="I71" s="412"/>
      <c r="J71" s="412"/>
      <c r="K71" s="412"/>
      <c r="L71" s="412"/>
      <c r="M71" s="412"/>
      <c r="N71" s="412"/>
      <c r="O71" s="412"/>
      <c r="P71" s="412"/>
      <c r="Q71" s="412"/>
      <c r="R71" s="412"/>
      <c r="S71" s="412"/>
      <c r="T71" s="412"/>
      <c r="U71" s="412"/>
      <c r="V71" s="413"/>
    </row>
    <row r="72" spans="1:22" x14ac:dyDescent="0.25">
      <c r="A72" s="414"/>
      <c r="B72" s="415"/>
      <c r="C72" s="415"/>
      <c r="D72" s="415"/>
      <c r="E72" s="415"/>
      <c r="F72" s="415"/>
      <c r="G72" s="415"/>
      <c r="H72" s="415"/>
      <c r="I72" s="415"/>
      <c r="J72" s="415"/>
      <c r="K72" s="415"/>
      <c r="L72" s="415"/>
      <c r="M72" s="415"/>
      <c r="N72" s="415"/>
      <c r="O72" s="415"/>
      <c r="P72" s="415"/>
      <c r="Q72" s="415"/>
      <c r="R72" s="415"/>
      <c r="S72" s="415"/>
      <c r="T72" s="415"/>
      <c r="U72" s="415"/>
      <c r="V72" s="416"/>
    </row>
    <row r="73" spans="1:22" x14ac:dyDescent="0.25">
      <c r="A73" s="414"/>
      <c r="B73" s="415"/>
      <c r="C73" s="415"/>
      <c r="D73" s="415"/>
      <c r="E73" s="415"/>
      <c r="F73" s="415"/>
      <c r="G73" s="415"/>
      <c r="H73" s="415"/>
      <c r="I73" s="415"/>
      <c r="J73" s="415"/>
      <c r="K73" s="415"/>
      <c r="L73" s="415"/>
      <c r="M73" s="415"/>
      <c r="N73" s="415"/>
      <c r="O73" s="415"/>
      <c r="P73" s="415"/>
      <c r="Q73" s="415"/>
      <c r="R73" s="415"/>
      <c r="S73" s="415"/>
      <c r="T73" s="415"/>
      <c r="U73" s="415"/>
      <c r="V73" s="416"/>
    </row>
    <row r="74" spans="1:22" x14ac:dyDescent="0.25">
      <c r="A74" s="414"/>
      <c r="B74" s="415"/>
      <c r="C74" s="415"/>
      <c r="D74" s="415"/>
      <c r="E74" s="415"/>
      <c r="F74" s="415"/>
      <c r="G74" s="415"/>
      <c r="H74" s="415"/>
      <c r="I74" s="415"/>
      <c r="J74" s="415"/>
      <c r="K74" s="415"/>
      <c r="L74" s="415"/>
      <c r="M74" s="415"/>
      <c r="N74" s="415"/>
      <c r="O74" s="415"/>
      <c r="P74" s="415"/>
      <c r="Q74" s="415"/>
      <c r="R74" s="415"/>
      <c r="S74" s="415"/>
      <c r="T74" s="415"/>
      <c r="U74" s="415"/>
      <c r="V74" s="416"/>
    </row>
    <row r="75" spans="1:22" x14ac:dyDescent="0.25">
      <c r="A75" s="414"/>
      <c r="B75" s="415"/>
      <c r="C75" s="415"/>
      <c r="D75" s="415"/>
      <c r="E75" s="415"/>
      <c r="F75" s="415"/>
      <c r="G75" s="415"/>
      <c r="H75" s="415"/>
      <c r="I75" s="415"/>
      <c r="J75" s="415"/>
      <c r="K75" s="415"/>
      <c r="L75" s="415"/>
      <c r="M75" s="415"/>
      <c r="N75" s="415"/>
      <c r="O75" s="415"/>
      <c r="P75" s="415"/>
      <c r="Q75" s="415"/>
      <c r="R75" s="415"/>
      <c r="S75" s="415"/>
      <c r="T75" s="415"/>
      <c r="U75" s="415"/>
      <c r="V75" s="416"/>
    </row>
    <row r="76" spans="1:22" x14ac:dyDescent="0.25">
      <c r="A76" s="414"/>
      <c r="B76" s="415"/>
      <c r="C76" s="415"/>
      <c r="D76" s="415"/>
      <c r="E76" s="415"/>
      <c r="F76" s="415"/>
      <c r="G76" s="415"/>
      <c r="H76" s="415"/>
      <c r="I76" s="415"/>
      <c r="J76" s="415"/>
      <c r="K76" s="415"/>
      <c r="L76" s="415"/>
      <c r="M76" s="415"/>
      <c r="N76" s="415"/>
      <c r="O76" s="415"/>
      <c r="P76" s="415"/>
      <c r="Q76" s="415"/>
      <c r="R76" s="415"/>
      <c r="S76" s="415"/>
      <c r="T76" s="415"/>
      <c r="U76" s="415"/>
      <c r="V76" s="416"/>
    </row>
    <row r="77" spans="1:22" x14ac:dyDescent="0.25">
      <c r="A77" s="414"/>
      <c r="B77" s="415"/>
      <c r="C77" s="415"/>
      <c r="D77" s="415"/>
      <c r="E77" s="415"/>
      <c r="F77" s="415"/>
      <c r="G77" s="415"/>
      <c r="H77" s="415"/>
      <c r="I77" s="415"/>
      <c r="J77" s="415"/>
      <c r="K77" s="415"/>
      <c r="L77" s="415"/>
      <c r="M77" s="415"/>
      <c r="N77" s="415"/>
      <c r="O77" s="415"/>
      <c r="P77" s="415"/>
      <c r="Q77" s="415"/>
      <c r="R77" s="415"/>
      <c r="S77" s="415"/>
      <c r="T77" s="415"/>
      <c r="U77" s="415"/>
      <c r="V77" s="416"/>
    </row>
    <row r="78" spans="1:22" x14ac:dyDescent="0.25">
      <c r="A78" s="414"/>
      <c r="B78" s="415"/>
      <c r="C78" s="415"/>
      <c r="D78" s="415"/>
      <c r="E78" s="415"/>
      <c r="F78" s="415"/>
      <c r="G78" s="415"/>
      <c r="H78" s="415"/>
      <c r="I78" s="415"/>
      <c r="J78" s="415"/>
      <c r="K78" s="415"/>
      <c r="L78" s="415"/>
      <c r="M78" s="415"/>
      <c r="N78" s="415"/>
      <c r="O78" s="415"/>
      <c r="P78" s="415"/>
      <c r="Q78" s="415"/>
      <c r="R78" s="415"/>
      <c r="S78" s="415"/>
      <c r="T78" s="415"/>
      <c r="U78" s="415"/>
      <c r="V78" s="416"/>
    </row>
    <row r="79" spans="1:22" x14ac:dyDescent="0.25">
      <c r="A79" s="414"/>
      <c r="B79" s="415"/>
      <c r="C79" s="415"/>
      <c r="D79" s="415"/>
      <c r="E79" s="415"/>
      <c r="F79" s="415"/>
      <c r="G79" s="415"/>
      <c r="H79" s="415"/>
      <c r="I79" s="415"/>
      <c r="J79" s="415"/>
      <c r="K79" s="415"/>
      <c r="L79" s="415"/>
      <c r="M79" s="415"/>
      <c r="N79" s="415"/>
      <c r="O79" s="415"/>
      <c r="P79" s="415"/>
      <c r="Q79" s="415"/>
      <c r="R79" s="415"/>
      <c r="S79" s="415"/>
      <c r="T79" s="415"/>
      <c r="U79" s="415"/>
      <c r="V79" s="416"/>
    </row>
    <row r="80" spans="1:22" x14ac:dyDescent="0.25">
      <c r="A80" s="414"/>
      <c r="B80" s="415"/>
      <c r="C80" s="415"/>
      <c r="D80" s="415"/>
      <c r="E80" s="415"/>
      <c r="F80" s="415"/>
      <c r="G80" s="415"/>
      <c r="H80" s="415"/>
      <c r="I80" s="415"/>
      <c r="J80" s="415"/>
      <c r="K80" s="415"/>
      <c r="L80" s="415"/>
      <c r="M80" s="415"/>
      <c r="N80" s="415"/>
      <c r="O80" s="415"/>
      <c r="P80" s="415"/>
      <c r="Q80" s="415"/>
      <c r="R80" s="415"/>
      <c r="S80" s="415"/>
      <c r="T80" s="415"/>
      <c r="U80" s="415"/>
      <c r="V80" s="416"/>
    </row>
    <row r="81" spans="1:22" x14ac:dyDescent="0.25">
      <c r="A81" s="414"/>
      <c r="B81" s="415"/>
      <c r="C81" s="415"/>
      <c r="D81" s="415"/>
      <c r="E81" s="415"/>
      <c r="F81" s="415"/>
      <c r="G81" s="415"/>
      <c r="H81" s="415"/>
      <c r="I81" s="415"/>
      <c r="J81" s="415"/>
      <c r="K81" s="415"/>
      <c r="L81" s="415"/>
      <c r="M81" s="415"/>
      <c r="N81" s="415"/>
      <c r="O81" s="415"/>
      <c r="P81" s="415"/>
      <c r="Q81" s="415"/>
      <c r="R81" s="415"/>
      <c r="S81" s="415"/>
      <c r="T81" s="415"/>
      <c r="U81" s="415"/>
      <c r="V81" s="416"/>
    </row>
    <row r="82" spans="1:22" x14ac:dyDescent="0.25">
      <c r="A82" s="414"/>
      <c r="B82" s="415"/>
      <c r="C82" s="415"/>
      <c r="D82" s="415"/>
      <c r="E82" s="415"/>
      <c r="F82" s="415"/>
      <c r="G82" s="415"/>
      <c r="H82" s="415"/>
      <c r="I82" s="415"/>
      <c r="J82" s="415"/>
      <c r="K82" s="415"/>
      <c r="L82" s="415"/>
      <c r="M82" s="415"/>
      <c r="N82" s="415"/>
      <c r="O82" s="415"/>
      <c r="P82" s="415"/>
      <c r="Q82" s="415"/>
      <c r="R82" s="415"/>
      <c r="S82" s="415"/>
      <c r="T82" s="415"/>
      <c r="U82" s="415"/>
      <c r="V82" s="416"/>
    </row>
    <row r="83" spans="1:22" x14ac:dyDescent="0.25">
      <c r="A83" s="414"/>
      <c r="B83" s="415"/>
      <c r="C83" s="415"/>
      <c r="D83" s="415"/>
      <c r="E83" s="415"/>
      <c r="F83" s="415"/>
      <c r="G83" s="415"/>
      <c r="H83" s="415"/>
      <c r="I83" s="415"/>
      <c r="J83" s="415"/>
      <c r="K83" s="415"/>
      <c r="L83" s="415"/>
      <c r="M83" s="415"/>
      <c r="N83" s="415"/>
      <c r="O83" s="415"/>
      <c r="P83" s="415"/>
      <c r="Q83" s="415"/>
      <c r="R83" s="415"/>
      <c r="S83" s="415"/>
      <c r="T83" s="415"/>
      <c r="U83" s="415"/>
      <c r="V83" s="416"/>
    </row>
    <row r="84" spans="1:22" x14ac:dyDescent="0.25">
      <c r="A84" s="414"/>
      <c r="B84" s="415"/>
      <c r="C84" s="415"/>
      <c r="D84" s="415"/>
      <c r="E84" s="415"/>
      <c r="F84" s="415"/>
      <c r="G84" s="415"/>
      <c r="H84" s="415"/>
      <c r="I84" s="415"/>
      <c r="J84" s="415"/>
      <c r="K84" s="415"/>
      <c r="L84" s="415"/>
      <c r="M84" s="415"/>
      <c r="N84" s="415"/>
      <c r="O84" s="415"/>
      <c r="P84" s="415"/>
      <c r="Q84" s="415"/>
      <c r="R84" s="415"/>
      <c r="S84" s="415"/>
      <c r="T84" s="415"/>
      <c r="U84" s="415"/>
      <c r="V84" s="416"/>
    </row>
    <row r="85" spans="1:22" x14ac:dyDescent="0.25">
      <c r="A85" s="414"/>
      <c r="B85" s="415"/>
      <c r="C85" s="415"/>
      <c r="D85" s="415"/>
      <c r="E85" s="415"/>
      <c r="F85" s="415"/>
      <c r="G85" s="415"/>
      <c r="H85" s="415"/>
      <c r="I85" s="415"/>
      <c r="J85" s="415"/>
      <c r="K85" s="415"/>
      <c r="L85" s="415"/>
      <c r="M85" s="415"/>
      <c r="N85" s="415"/>
      <c r="O85" s="415"/>
      <c r="P85" s="415"/>
      <c r="Q85" s="415"/>
      <c r="R85" s="415"/>
      <c r="S85" s="415"/>
      <c r="T85" s="415"/>
      <c r="U85" s="415"/>
      <c r="V85" s="416"/>
    </row>
    <row r="86" spans="1:22" x14ac:dyDescent="0.25">
      <c r="A86" s="414"/>
      <c r="B86" s="415"/>
      <c r="C86" s="415"/>
      <c r="D86" s="415"/>
      <c r="E86" s="415"/>
      <c r="F86" s="415"/>
      <c r="G86" s="415"/>
      <c r="H86" s="415"/>
      <c r="I86" s="415"/>
      <c r="J86" s="415"/>
      <c r="K86" s="415"/>
      <c r="L86" s="415"/>
      <c r="M86" s="415"/>
      <c r="N86" s="415"/>
      <c r="O86" s="415"/>
      <c r="P86" s="415"/>
      <c r="Q86" s="415"/>
      <c r="R86" s="415"/>
      <c r="S86" s="415"/>
      <c r="T86" s="415"/>
      <c r="U86" s="415"/>
      <c r="V86" s="416"/>
    </row>
    <row r="87" spans="1:22" x14ac:dyDescent="0.25">
      <c r="A87" s="414"/>
      <c r="B87" s="415"/>
      <c r="C87" s="415"/>
      <c r="D87" s="415"/>
      <c r="E87" s="415"/>
      <c r="F87" s="415"/>
      <c r="G87" s="415"/>
      <c r="H87" s="415"/>
      <c r="I87" s="415"/>
      <c r="J87" s="415"/>
      <c r="K87" s="415"/>
      <c r="L87" s="415"/>
      <c r="M87" s="415"/>
      <c r="N87" s="415"/>
      <c r="O87" s="415"/>
      <c r="P87" s="415"/>
      <c r="Q87" s="415"/>
      <c r="R87" s="415"/>
      <c r="S87" s="415"/>
      <c r="T87" s="415"/>
      <c r="U87" s="415"/>
      <c r="V87" s="416"/>
    </row>
    <row r="88" spans="1:22" x14ac:dyDescent="0.25">
      <c r="A88" s="414"/>
      <c r="B88" s="415"/>
      <c r="C88" s="415"/>
      <c r="D88" s="415"/>
      <c r="E88" s="415"/>
      <c r="F88" s="415"/>
      <c r="G88" s="415"/>
      <c r="H88" s="415"/>
      <c r="I88" s="415"/>
      <c r="J88" s="415"/>
      <c r="K88" s="415"/>
      <c r="L88" s="415"/>
      <c r="M88" s="415"/>
      <c r="N88" s="415"/>
      <c r="O88" s="415"/>
      <c r="P88" s="415"/>
      <c r="Q88" s="415"/>
      <c r="R88" s="415"/>
      <c r="S88" s="415"/>
      <c r="T88" s="415"/>
      <c r="U88" s="415"/>
      <c r="V88" s="416"/>
    </row>
    <row r="89" spans="1:22" x14ac:dyDescent="0.25">
      <c r="A89" s="414"/>
      <c r="B89" s="415"/>
      <c r="C89" s="415"/>
      <c r="D89" s="415"/>
      <c r="E89" s="415"/>
      <c r="F89" s="415"/>
      <c r="G89" s="415"/>
      <c r="H89" s="415"/>
      <c r="I89" s="415"/>
      <c r="J89" s="415"/>
      <c r="K89" s="415"/>
      <c r="L89" s="415"/>
      <c r="M89" s="415"/>
      <c r="N89" s="415"/>
      <c r="O89" s="415"/>
      <c r="P89" s="415"/>
      <c r="Q89" s="415"/>
      <c r="R89" s="415"/>
      <c r="S89" s="415"/>
      <c r="T89" s="415"/>
      <c r="U89" s="415"/>
      <c r="V89" s="416"/>
    </row>
    <row r="90" spans="1:22" x14ac:dyDescent="0.25">
      <c r="A90" s="414"/>
      <c r="B90" s="415"/>
      <c r="C90" s="415"/>
      <c r="D90" s="415"/>
      <c r="E90" s="415"/>
      <c r="F90" s="415"/>
      <c r="G90" s="415"/>
      <c r="H90" s="415"/>
      <c r="I90" s="415"/>
      <c r="J90" s="415"/>
      <c r="K90" s="415"/>
      <c r="L90" s="415"/>
      <c r="M90" s="415"/>
      <c r="N90" s="415"/>
      <c r="O90" s="415"/>
      <c r="P90" s="415"/>
      <c r="Q90" s="415"/>
      <c r="R90" s="415"/>
      <c r="S90" s="415"/>
      <c r="T90" s="415"/>
      <c r="U90" s="415"/>
      <c r="V90" s="416"/>
    </row>
    <row r="91" spans="1:22" x14ac:dyDescent="0.25">
      <c r="A91" s="414"/>
      <c r="B91" s="415"/>
      <c r="C91" s="415"/>
      <c r="D91" s="415"/>
      <c r="E91" s="415"/>
      <c r="F91" s="415"/>
      <c r="G91" s="415"/>
      <c r="H91" s="415"/>
      <c r="I91" s="415"/>
      <c r="J91" s="415"/>
      <c r="K91" s="415"/>
      <c r="L91" s="415"/>
      <c r="M91" s="415"/>
      <c r="N91" s="415"/>
      <c r="O91" s="415"/>
      <c r="P91" s="415"/>
      <c r="Q91" s="415"/>
      <c r="R91" s="415"/>
      <c r="S91" s="415"/>
      <c r="T91" s="415"/>
      <c r="U91" s="415"/>
      <c r="V91" s="416"/>
    </row>
    <row r="92" spans="1:22" x14ac:dyDescent="0.25">
      <c r="A92" s="414"/>
      <c r="B92" s="415"/>
      <c r="C92" s="415"/>
      <c r="D92" s="415"/>
      <c r="E92" s="415"/>
      <c r="F92" s="415"/>
      <c r="G92" s="415"/>
      <c r="H92" s="415"/>
      <c r="I92" s="415"/>
      <c r="J92" s="415"/>
      <c r="K92" s="415"/>
      <c r="L92" s="415"/>
      <c r="M92" s="415"/>
      <c r="N92" s="415"/>
      <c r="O92" s="415"/>
      <c r="P92" s="415"/>
      <c r="Q92" s="415"/>
      <c r="R92" s="415"/>
      <c r="S92" s="415"/>
      <c r="T92" s="415"/>
      <c r="U92" s="415"/>
      <c r="V92" s="416"/>
    </row>
    <row r="93" spans="1:22" ht="30" customHeight="1" x14ac:dyDescent="0.25">
      <c r="A93" s="417"/>
      <c r="B93" s="418"/>
      <c r="C93" s="418"/>
      <c r="D93" s="418"/>
      <c r="E93" s="418"/>
      <c r="F93" s="418"/>
      <c r="G93" s="418"/>
      <c r="H93" s="418"/>
      <c r="I93" s="418"/>
      <c r="J93" s="418"/>
      <c r="K93" s="418"/>
      <c r="L93" s="418"/>
      <c r="M93" s="418"/>
      <c r="N93" s="418"/>
      <c r="O93" s="418"/>
      <c r="P93" s="418"/>
      <c r="Q93" s="418"/>
      <c r="R93" s="418"/>
      <c r="S93" s="418"/>
      <c r="T93" s="418"/>
      <c r="U93" s="418"/>
      <c r="V93" s="419"/>
    </row>
    <row r="94" spans="1:22" x14ac:dyDescent="0.25">
      <c r="A94" s="377" t="s">
        <v>244</v>
      </c>
      <c r="B94" s="378"/>
      <c r="C94" s="378"/>
      <c r="D94" s="378"/>
      <c r="E94" s="378"/>
      <c r="F94" s="378"/>
      <c r="G94" s="378"/>
      <c r="H94" s="378"/>
      <c r="I94" s="378"/>
      <c r="J94" s="378"/>
      <c r="K94" s="378"/>
      <c r="L94" s="378"/>
      <c r="M94" s="378"/>
      <c r="N94" s="378"/>
      <c r="O94" s="378"/>
      <c r="P94" s="378"/>
      <c r="Q94" s="378"/>
      <c r="R94" s="378"/>
      <c r="S94" s="378"/>
      <c r="T94" s="378"/>
      <c r="U94" s="378"/>
      <c r="V94" s="379"/>
    </row>
    <row r="95" spans="1:22" x14ac:dyDescent="0.25">
      <c r="A95" s="374" t="s">
        <v>245</v>
      </c>
      <c r="B95" s="375"/>
      <c r="C95" s="375"/>
      <c r="D95" s="375"/>
      <c r="E95" s="375"/>
      <c r="F95" s="375"/>
      <c r="G95" s="375"/>
      <c r="H95" s="375"/>
      <c r="I95" s="375"/>
      <c r="J95" s="375"/>
      <c r="K95" s="375"/>
      <c r="L95" s="375"/>
      <c r="M95" s="375"/>
      <c r="N95" s="375"/>
      <c r="O95" s="375"/>
      <c r="P95" s="375"/>
      <c r="Q95" s="375"/>
      <c r="R95" s="375"/>
      <c r="S95" s="375"/>
      <c r="T95" s="375"/>
      <c r="U95" s="375"/>
      <c r="V95" s="376"/>
    </row>
    <row r="96" spans="1:22" x14ac:dyDescent="0.25">
      <c r="A96" s="195"/>
      <c r="B96" s="196"/>
      <c r="C96" s="196"/>
      <c r="D96" s="196"/>
      <c r="E96" s="196"/>
      <c r="F96" s="196"/>
      <c r="G96" s="196"/>
      <c r="H96" s="196"/>
      <c r="I96" s="196"/>
      <c r="J96" s="196"/>
      <c r="K96" s="196"/>
      <c r="L96" s="196"/>
      <c r="M96" s="196"/>
      <c r="N96" s="196"/>
      <c r="O96" s="196"/>
      <c r="P96" s="196"/>
      <c r="Q96" s="196"/>
      <c r="R96" s="196"/>
      <c r="S96" s="196"/>
      <c r="T96" s="196"/>
      <c r="U96" s="196"/>
      <c r="V96" s="197"/>
    </row>
    <row r="97" spans="1:22" ht="12.75" customHeight="1" x14ac:dyDescent="0.25">
      <c r="A97" s="380" t="s">
        <v>246</v>
      </c>
      <c r="B97" s="381"/>
      <c r="C97" s="381"/>
      <c r="D97" s="381"/>
      <c r="E97" s="381"/>
      <c r="F97" s="381"/>
      <c r="G97" s="381"/>
      <c r="H97" s="381"/>
      <c r="I97" s="381"/>
      <c r="J97" s="381"/>
      <c r="K97" s="381"/>
      <c r="L97" s="381"/>
      <c r="M97" s="381"/>
      <c r="N97" s="382"/>
      <c r="O97" s="377" t="s">
        <v>164</v>
      </c>
      <c r="P97" s="378"/>
      <c r="Q97" s="378"/>
      <c r="R97" s="378"/>
      <c r="S97" s="378"/>
      <c r="T97" s="378"/>
      <c r="U97" s="378"/>
      <c r="V97" s="379"/>
    </row>
    <row r="98" spans="1:22" ht="54.75" customHeight="1" x14ac:dyDescent="0.25">
      <c r="A98" s="383" t="s">
        <v>247</v>
      </c>
      <c r="B98" s="384"/>
      <c r="C98" s="384"/>
      <c r="D98" s="384"/>
      <c r="E98" s="384"/>
      <c r="F98" s="384"/>
      <c r="G98" s="384"/>
      <c r="H98" s="384"/>
      <c r="I98" s="384"/>
      <c r="J98" s="384"/>
      <c r="K98" s="384"/>
      <c r="L98" s="384"/>
      <c r="M98" s="384"/>
      <c r="N98" s="385"/>
      <c r="O98" s="394" t="s">
        <v>254</v>
      </c>
      <c r="P98" s="395"/>
      <c r="Q98" s="395"/>
      <c r="R98" s="395"/>
      <c r="S98" s="395"/>
      <c r="T98" s="395"/>
      <c r="U98" s="395"/>
      <c r="V98" s="396"/>
    </row>
    <row r="99" spans="1:22" x14ac:dyDescent="0.25">
      <c r="A99" s="199" t="s">
        <v>248</v>
      </c>
      <c r="B99" s="115"/>
      <c r="C99" s="386">
        <f>Данные!$B$18</f>
        <v>0</v>
      </c>
      <c r="D99" s="386"/>
      <c r="E99" s="386"/>
      <c r="F99" s="386"/>
      <c r="G99" s="173"/>
      <c r="H99" s="386">
        <f>Данные!$B$17</f>
        <v>0</v>
      </c>
      <c r="I99" s="386"/>
      <c r="J99" s="386"/>
      <c r="K99" s="386"/>
      <c r="L99" s="386"/>
      <c r="M99" s="386"/>
      <c r="N99" s="387"/>
      <c r="O99" s="390">
        <f>Данные!$B$2</f>
        <v>0</v>
      </c>
      <c r="P99" s="386"/>
      <c r="Q99" s="386"/>
      <c r="R99" s="386"/>
      <c r="S99" s="386"/>
      <c r="T99" s="386"/>
      <c r="U99" s="386"/>
      <c r="V99" s="387"/>
    </row>
    <row r="100" spans="1:22" x14ac:dyDescent="0.25">
      <c r="A100" s="200" t="s">
        <v>253</v>
      </c>
      <c r="B100" s="135"/>
      <c r="C100" s="135"/>
      <c r="D100" s="135"/>
      <c r="E100" s="388">
        <f>Данные!$E$18</f>
        <v>0</v>
      </c>
      <c r="F100" s="389"/>
      <c r="G100" s="389"/>
      <c r="H100" s="389"/>
      <c r="I100" s="389"/>
      <c r="J100" s="135"/>
      <c r="K100" s="135"/>
      <c r="L100" s="135"/>
      <c r="M100" s="135"/>
      <c r="N100" s="136"/>
      <c r="O100" s="391" t="str">
        <f>IF(G4&gt;0,Данные!$B$16,"")</f>
        <v/>
      </c>
      <c r="P100" s="392"/>
      <c r="Q100" s="392"/>
      <c r="R100" s="392"/>
      <c r="S100" s="392"/>
      <c r="T100" s="392"/>
      <c r="U100" s="392"/>
      <c r="V100" s="393"/>
    </row>
  </sheetData>
  <mergeCells count="106">
    <mergeCell ref="F44:I44"/>
    <mergeCell ref="F45:I45"/>
    <mergeCell ref="A55:V56"/>
    <mergeCell ref="A57:V58"/>
    <mergeCell ref="P54:Q54"/>
    <mergeCell ref="I54:O54"/>
    <mergeCell ref="R54:V54"/>
    <mergeCell ref="N44:R44"/>
    <mergeCell ref="N45:R45"/>
    <mergeCell ref="Q26:V27"/>
    <mergeCell ref="Q28:V28"/>
    <mergeCell ref="Q29:V29"/>
    <mergeCell ref="A11:V11"/>
    <mergeCell ref="A48:V48"/>
    <mergeCell ref="J32:O32"/>
    <mergeCell ref="G40:I40"/>
    <mergeCell ref="S43:V43"/>
    <mergeCell ref="S44:V44"/>
    <mergeCell ref="S45:V45"/>
    <mergeCell ref="A46:V47"/>
    <mergeCell ref="J43:M43"/>
    <mergeCell ref="N42:R42"/>
    <mergeCell ref="N43:R43"/>
    <mergeCell ref="S42:V42"/>
    <mergeCell ref="A40:F40"/>
    <mergeCell ref="N40:R40"/>
    <mergeCell ref="J40:M40"/>
    <mergeCell ref="S40:V40"/>
    <mergeCell ref="A12:B12"/>
    <mergeCell ref="C12:M12"/>
    <mergeCell ref="N12:R12"/>
    <mergeCell ref="D13:G13"/>
    <mergeCell ref="H13:L13"/>
    <mergeCell ref="J26:P27"/>
    <mergeCell ref="J28:P28"/>
    <mergeCell ref="J29:P29"/>
    <mergeCell ref="J30:P30"/>
    <mergeCell ref="A26:I27"/>
    <mergeCell ref="A28:I28"/>
    <mergeCell ref="A29:I29"/>
    <mergeCell ref="A30:I30"/>
    <mergeCell ref="A31:I31"/>
    <mergeCell ref="G4:N4"/>
    <mergeCell ref="P4:T4"/>
    <mergeCell ref="A25:I25"/>
    <mergeCell ref="A21:V21"/>
    <mergeCell ref="A22:V24"/>
    <mergeCell ref="Q25:V25"/>
    <mergeCell ref="J25:P25"/>
    <mergeCell ref="A14:F15"/>
    <mergeCell ref="G14:V15"/>
    <mergeCell ref="A16:V16"/>
    <mergeCell ref="A4:E4"/>
    <mergeCell ref="S12:V12"/>
    <mergeCell ref="M13:V13"/>
    <mergeCell ref="A18:D18"/>
    <mergeCell ref="A17:D17"/>
    <mergeCell ref="E17:K17"/>
    <mergeCell ref="E18:V19"/>
    <mergeCell ref="L17:Q17"/>
    <mergeCell ref="R17:S17"/>
    <mergeCell ref="T17:V17"/>
    <mergeCell ref="Q30:V30"/>
    <mergeCell ref="Q31:V31"/>
    <mergeCell ref="J31:P31"/>
    <mergeCell ref="A33:V34"/>
    <mergeCell ref="J35:Q35"/>
    <mergeCell ref="A35:E35"/>
    <mergeCell ref="F35:I35"/>
    <mergeCell ref="R35:V35"/>
    <mergeCell ref="A32:I32"/>
    <mergeCell ref="Q32:V32"/>
    <mergeCell ref="T66:V66"/>
    <mergeCell ref="A69:V70"/>
    <mergeCell ref="A67:V68"/>
    <mergeCell ref="A71:V93"/>
    <mergeCell ref="A94:V94"/>
    <mergeCell ref="A39:G39"/>
    <mergeCell ref="A38:V38"/>
    <mergeCell ref="A36:V36"/>
    <mergeCell ref="A37:E37"/>
    <mergeCell ref="F37:I37"/>
    <mergeCell ref="J37:Q37"/>
    <mergeCell ref="R37:V37"/>
    <mergeCell ref="H39:N39"/>
    <mergeCell ref="O39:Q39"/>
    <mergeCell ref="A41:V41"/>
    <mergeCell ref="J42:M42"/>
    <mergeCell ref="J44:M44"/>
    <mergeCell ref="J45:M45"/>
    <mergeCell ref="A63:V65"/>
    <mergeCell ref="A59:V60"/>
    <mergeCell ref="A61:V62"/>
    <mergeCell ref="A42:E45"/>
    <mergeCell ref="F42:I42"/>
    <mergeCell ref="F43:I43"/>
    <mergeCell ref="A95:V95"/>
    <mergeCell ref="O97:V97"/>
    <mergeCell ref="A97:N97"/>
    <mergeCell ref="A98:N98"/>
    <mergeCell ref="C99:F99"/>
    <mergeCell ref="H99:N99"/>
    <mergeCell ref="E100:I100"/>
    <mergeCell ref="O99:V99"/>
    <mergeCell ref="O100:V100"/>
    <mergeCell ref="O98:V98"/>
  </mergeCells>
  <hyperlinks>
    <hyperlink ref="A10" r:id="rId1" xr:uid="{490B8D14-6376-4BA1-8DB5-6C7D4B71F658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Check Box 1">
              <controlPr defaultSize="0" autoFill="0" autoLine="0" autoPict="0">
                <anchor moveWithCells="1">
                  <from>
                    <xdr:col>0</xdr:col>
                    <xdr:colOff>19050</xdr:colOff>
                    <xdr:row>17</xdr:row>
                    <xdr:rowOff>171450</xdr:rowOff>
                  </from>
                  <to>
                    <xdr:col>7</xdr:col>
                    <xdr:colOff>114300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6" name="Check Box 2">
              <controlPr defaultSize="0" autoFill="0" autoLine="0" autoPict="0">
                <anchor moveWithCells="1">
                  <from>
                    <xdr:col>12</xdr:col>
                    <xdr:colOff>342900</xdr:colOff>
                    <xdr:row>18</xdr:row>
                    <xdr:rowOff>133350</xdr:rowOff>
                  </from>
                  <to>
                    <xdr:col>22</xdr:col>
                    <xdr:colOff>180975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7" name="Check Box 3">
              <controlPr defaultSize="0" autoFill="0" autoLine="0" autoPict="0">
                <anchor moveWithCells="1">
                  <from>
                    <xdr:col>0</xdr:col>
                    <xdr:colOff>19050</xdr:colOff>
                    <xdr:row>18</xdr:row>
                    <xdr:rowOff>133350</xdr:rowOff>
                  </from>
                  <to>
                    <xdr:col>12</xdr:col>
                    <xdr:colOff>342900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9</vt:i4>
      </vt:variant>
    </vt:vector>
  </HeadingPairs>
  <TitlesOfParts>
    <vt:vector size="14" baseType="lpstr">
      <vt:lpstr>Расчёт СС</vt:lpstr>
      <vt:lpstr>Расчёт премии</vt:lpstr>
      <vt:lpstr>Данные</vt:lpstr>
      <vt:lpstr>Предложение</vt:lpstr>
      <vt:lpstr>Полис</vt:lpstr>
      <vt:lpstr>бизнес</vt:lpstr>
      <vt:lpstr>Единовременно</vt:lpstr>
      <vt:lpstr>конструктив</vt:lpstr>
      <vt:lpstr>обычная</vt:lpstr>
      <vt:lpstr>отделка</vt:lpstr>
      <vt:lpstr>Премияитог</vt:lpstr>
      <vt:lpstr>Рассрочка</vt:lpstr>
      <vt:lpstr>тип</vt:lpstr>
      <vt:lpstr>элитная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оченьустал</dc:creator>
  <cp:lastModifiedBy>Быхал Яков Александрович</cp:lastModifiedBy>
  <cp:lastPrinted>2020-03-20T07:06:59Z</cp:lastPrinted>
  <dcterms:created xsi:type="dcterms:W3CDTF">2020-02-08T07:57:05Z</dcterms:created>
  <dcterms:modified xsi:type="dcterms:W3CDTF">2020-03-20T07:11:02Z</dcterms:modified>
</cp:coreProperties>
</file>